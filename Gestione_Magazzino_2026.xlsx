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16378" windowHeight="8188" activeTab="2" firstSheet="1" tabRatio="500"/>
  </bookViews>
  <sheets>
    <sheet name="📊 Dashboard" sheetId="1" r:id="rId2"/>
    <sheet name="📦 Prodotti" sheetId="2" r:id="rId3"/>
    <sheet name="📥 Carico" sheetId="3" r:id="rId4"/>
    <sheet name="📤 Scarico" sheetId="4" r:id="rId5"/>
    <sheet name="🏪 Giacenze" sheetId="5" r:id="rId6"/>
    <sheet name="🏭 Produzione" sheetId="6" r:id="rId7"/>
    <sheet name="💰 Costi &amp; Ricavi" sheetId="7" r:id="rId8"/>
    <sheet name="📈 Per Tipologia" sheetId="8" r:id="rId9"/>
    <sheet name="📅 Mensile" sheetId="9" r:id="rId10"/>
  </sheets>
  <definedNames>
    <definedName name="_xlnm.Print_Titles" localSheetId="7">'📈 Per Tipologia'!$1:$3</definedName>
    <definedName name="_xlnm.Print_Titles" localSheetId="6">'💰 Costi &amp; Ricavi'!$1:$3</definedName>
    <definedName name="_xlnm.Print_Titles" localSheetId="2">'📥 Carico'!$1:$3</definedName>
    <definedName name="_xlnm.Print_Titles" localSheetId="0">'📊 Dashboard'!$1:$3</definedName>
    <definedName name="_xlnm.Print_Titles" localSheetId="8">'📅 Mensile'!$1:$3</definedName>
    <definedName name="_xlnm.Print_Titles" localSheetId="3">'📤 Scarico'!$1:$3</definedName>
    <definedName name="_xlnm.Print_Titles" localSheetId="5">'🏭 Produzione'!$1:$3</definedName>
    <definedName name="_xlnm.Print_Titles" localSheetId="1">'📦 Prodotti'!$1:$3</definedName>
    <definedName name="_xlnm.Print_Titles" localSheetId="4">'🏪 Giacenze'!$1:$3</definedName>
  </definedNames>
  <calcPr calcId="162913"/>
</workbook>
</file>

<file path=xl/sharedStrings.xml><?xml version="1.0" encoding="utf-8"?>
<sst xmlns="http://schemas.openxmlformats.org/spreadsheetml/2006/main" count="775" uniqueCount="195">
  <si>
    <t>🏭  GESTIONE MAGAZZINO &amp; PRODUZIONE  2026</t>
  </si>
  <si>
    <t>INDICATORI CHIAVE DI PERFORMANCE</t>
  </si>
  <si>
    <t>Totale Ordinato</t>
  </si>
  <si>
    <t>Totale Consegnato</t>
  </si>
  <si>
    <t>Totale Arretrato</t>
  </si>
  <si>
    <t>Fatturato Lordo</t>
  </si>
  <si>
    <t>Costo Totale</t>
  </si>
  <si>
    <t>Margine Lordo</t>
  </si>
  <si>
    <t>RIEPILOGO PER TIPOLOGIA DI PRODOTTO</t>
  </si>
  <si>
    <t>Tipologia</t>
  </si>
  <si>
    <t>Ord. (pz)</t>
  </si>
  <si>
    <t>Cons. (pz)</t>
  </si>
  <si>
    <t>Arretrato (pz)</t>
  </si>
  <si>
    <t>Costo Tot.</t>
  </si>
  <si>
    <t>Fatturato</t>
  </si>
  <si>
    <t>Margine %</t>
  </si>
  <si>
    <t>RETE PP</t>
  </si>
  <si>
    <t>TNT PP</t>
  </si>
  <si>
    <t>TNT PET</t>
  </si>
  <si>
    <t>RETE HDPE</t>
  </si>
  <si>
    <t>STRACCI</t>
  </si>
  <si>
    <t>TOTALE</t>
  </si>
  <si>
    <t>NAVIGAZIONE RAPIDA</t>
  </si>
  <si>
    <t>📦 Prodotti</t>
  </si>
  <si>
    <t>Anagrafica prodotti con costi, prezzi e dati di produzione</t>
  </si>
  <si>
    <t>📥 Carico</t>
  </si>
  <si>
    <t>Registrazione carichi e produzione in entrata</t>
  </si>
  <si>
    <t>📤 Scarico</t>
  </si>
  <si>
    <t>Registrazione scarichi / consegne DDT</t>
  </si>
  <si>
    <t>🏪 Giacenze</t>
  </si>
  <si>
    <t>Situazione giacenze aggiornata per codice</t>
  </si>
  <si>
    <t>🏭 Produzione</t>
  </si>
  <si>
    <t>Registro produzione e ore macchina</t>
  </si>
  <si>
    <t>💰 Costi &amp; Ricavi</t>
  </si>
  <si>
    <t>Analisi costi, ricavi e margini per prodotto</t>
  </si>
  <si>
    <t>📈 Per Tipologia</t>
  </si>
  <si>
    <t>Riepilogo aggregato per tipologia di prodotto</t>
  </si>
  <si>
    <t>📅 Mensile</t>
  </si>
  <si>
    <t>Analisi ordini e consegne mese per mese</t>
  </si>
  <si>
    <t>TOTALI</t>
  </si>
  <si>
    <t>Codice</t>
  </si>
  <si>
    <t>Tipo</t>
  </si>
  <si>
    <t>Ordinato (pz)</t>
  </si>
  <si>
    <t>Consegnato (pz)</t>
  </si>
  <si>
    <t>Costo Unit. (€)</t>
  </si>
  <si>
    <t>Prezzo Vend. (€)</t>
  </si>
  <si>
    <t>Fatturato (€)</t>
  </si>
  <si>
    <t>Margine Lordo (€)</t>
  </si>
  <si>
    <t>Incidenza MP %</t>
  </si>
  <si>
    <t>A17014</t>
  </si>
  <si>
    <t>A17067</t>
  </si>
  <si>
    <t>A17225</t>
  </si>
  <si>
    <t>A17227</t>
  </si>
  <si>
    <t>A17289</t>
  </si>
  <si>
    <t>A17327</t>
  </si>
  <si>
    <t>A17328</t>
  </si>
  <si>
    <t>A17330</t>
  </si>
  <si>
    <t>A17338</t>
  </si>
  <si>
    <t>A17400</t>
  </si>
  <si>
    <t>A17401</t>
  </si>
  <si>
    <t>A17402</t>
  </si>
  <si>
    <t>A17403</t>
  </si>
  <si>
    <t>A17404</t>
  </si>
  <si>
    <t>A17972</t>
  </si>
  <si>
    <t>A17973</t>
  </si>
  <si>
    <t>A17266</t>
  </si>
  <si>
    <t>A17478</t>
  </si>
  <si>
    <t>A17479</t>
  </si>
  <si>
    <t>A17480</t>
  </si>
  <si>
    <t>A17481</t>
  </si>
  <si>
    <t>A17484</t>
  </si>
  <si>
    <t>A17485</t>
  </si>
  <si>
    <t>A17488</t>
  </si>
  <si>
    <t>A14521</t>
  </si>
  <si>
    <t>A14523</t>
  </si>
  <si>
    <t>A14520</t>
  </si>
  <si>
    <t>A14522</t>
  </si>
  <si>
    <t>A14524</t>
  </si>
  <si>
    <t>A14555</t>
  </si>
  <si>
    <t>A14556</t>
  </si>
  <si>
    <t>📥  REGISTRO CARICO / PRODUZIONE IN ENTRATA</t>
  </si>
  <si>
    <t>Data</t>
  </si>
  <si>
    <t>N° Documento</t>
  </si>
  <si>
    <t>Tipo Doc.</t>
  </si>
  <si>
    <t>Codice Prodotto</t>
  </si>
  <si>
    <t>Quantità (pz)</t>
  </si>
  <si>
    <t>Valore Carico (€)</t>
  </si>
  <si>
    <t>Note</t>
  </si>
  <si>
    <t>2026-01-09</t>
  </si>
  <si>
    <t>ORD.1</t>
  </si>
  <si>
    <t>Ordine ACS</t>
  </si>
  <si>
    <t>ORD.2</t>
  </si>
  <si>
    <t>Ordine COMMER</t>
  </si>
  <si>
    <t>2026-01-16</t>
  </si>
  <si>
    <t>ORD.3</t>
  </si>
  <si>
    <t>2026-01-24</t>
  </si>
  <si>
    <t>ORD.5</t>
  </si>
  <si>
    <t>2026-01-30</t>
  </si>
  <si>
    <t>ORD.7</t>
  </si>
  <si>
    <t>2026-02-06</t>
  </si>
  <si>
    <t>ORD.9</t>
  </si>
  <si>
    <t>2026-03-06</t>
  </si>
  <si>
    <t>ORD.17</t>
  </si>
  <si>
    <t>2026-03-13</t>
  </si>
  <si>
    <t>ORD.19</t>
  </si>
  <si>
    <t>2026-04-02</t>
  </si>
  <si>
    <t>PROD.01</t>
  </si>
  <si>
    <t>Produzione</t>
  </si>
  <si>
    <t>2026-04-03</t>
  </si>
  <si>
    <t>PROD.02</t>
  </si>
  <si>
    <t>2026-04-10</t>
  </si>
  <si>
    <t>PROD.03</t>
  </si>
  <si>
    <t>2026-04-17</t>
  </si>
  <si>
    <t>ORD.29</t>
  </si>
  <si>
    <t>2026-05-01</t>
  </si>
  <si>
    <t>PROD.04</t>
  </si>
  <si>
    <t>📤  REGISTRO SCARICO / CONSEGNE DDT</t>
  </si>
  <si>
    <t>N° DDT</t>
  </si>
  <si>
    <t>Cliente</t>
  </si>
  <si>
    <t>Prezzo Unit. (€)</t>
  </si>
  <si>
    <t>Valore Scarico (€)</t>
  </si>
  <si>
    <t>2026-01-12</t>
  </si>
  <si>
    <t>DDT 001</t>
  </si>
  <si>
    <t>COMMER</t>
  </si>
  <si>
    <t>2026-01-13</t>
  </si>
  <si>
    <t>DDT 003</t>
  </si>
  <si>
    <t>DDT 004</t>
  </si>
  <si>
    <t>ACS</t>
  </si>
  <si>
    <t>DDT 005</t>
  </si>
  <si>
    <t>2026-01-19</t>
  </si>
  <si>
    <t>DDT 007</t>
  </si>
  <si>
    <t>2026-01-22</t>
  </si>
  <si>
    <t>DDT 008</t>
  </si>
  <si>
    <t>2026-01-23</t>
  </si>
  <si>
    <t>DDT 009</t>
  </si>
  <si>
    <t>DDT 010</t>
  </si>
  <si>
    <t>2026-01-27</t>
  </si>
  <si>
    <t>DDT 011</t>
  </si>
  <si>
    <t>2026-01-28</t>
  </si>
  <si>
    <t>DDT 013</t>
  </si>
  <si>
    <t>DDT 014</t>
  </si>
  <si>
    <t>2026-01-29</t>
  </si>
  <si>
    <t>DDT 015</t>
  </si>
  <si>
    <t>DDT 016</t>
  </si>
  <si>
    <t>🏪  GIACENZE MAGAZZINO  —  Situazione Aggiornata</t>
  </si>
  <si>
    <t>Giacenza Inizio</t>
  </si>
  <si>
    <t>Carico Tot. (pz)</t>
  </si>
  <si>
    <t>Scarico Tot. (pz)</t>
  </si>
  <si>
    <t>Giacenza Attuale</t>
  </si>
  <si>
    <t>Valore Giac. (€)</t>
  </si>
  <si>
    <t>Stato</t>
  </si>
  <si>
    <t>⬛ ZERO</t>
  </si>
  <si>
    <t>✅ OK</t>
  </si>
  <si>
    <t>⚠️ NEGATIVO</t>
  </si>
  <si>
    <t>🏭  REGISTRO PRODUZIONE — Ore Macchina &amp; Output</t>
  </si>
  <si>
    <t>Pezzi Prodotti</t>
  </si>
  <si>
    <t>Ore Pressa</t>
  </si>
  <si>
    <t>Ore Lavoro</t>
  </si>
  <si>
    <t>Ore Produzione</t>
  </si>
  <si>
    <t>Costo Prod. (€)</t>
  </si>
  <si>
    <t>Valore Prod. (€)</t>
  </si>
  <si>
    <t>Operatore</t>
  </si>
  <si>
    <t>2026-01-01</t>
  </si>
  <si>
    <t>Impianto</t>
  </si>
  <si>
    <t>Pressa</t>
  </si>
  <si>
    <t>Piegafilo</t>
  </si>
  <si>
    <t>OMCG</t>
  </si>
  <si>
    <t>💰  ANALISI COSTI, RICAVI E MARGINI — Per Codice Prodotto</t>
  </si>
  <si>
    <t>Pezzi Consegnati</t>
  </si>
  <si>
    <t>Costo Tot. (€)</t>
  </si>
  <si>
    <t>Ricavo Lordo (€)</t>
  </si>
  <si>
    <t>Costo MP €/pz</t>
  </si>
  <si>
    <t>Incid. MP %</t>
  </si>
  <si>
    <t>📈  RIEPILOGO PER TIPOLOGIA DI PRODOTTO</t>
  </si>
  <si>
    <t>N° Codici</t>
  </si>
  <si>
    <t>Costo Totale (€)</t>
  </si>
  <si>
    <t>% su Totale</t>
  </si>
  <si>
    <t>100%</t>
  </si>
  <si>
    <t>📅  ANALISI MENSILE — Ordini, Consegne e Fatturato 2026</t>
  </si>
  <si>
    <t>Mese</t>
  </si>
  <si>
    <t>Costo (€)</t>
  </si>
  <si>
    <t>Margine (€)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</si>
  <si>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</si>
  <si>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</si>
  <si>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</si>
  <si>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</si>
  <si>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</si>
  <si>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</si>
  <si>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</si>
  <si>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</si>
  <si>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</si>
  <si>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</si>
  <si>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</si>
  <si>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</si>
  <si>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 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</si>
</sst>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76" formatCode="#,##0"/>
    <numFmt numFmtId="177" formatCode="€#,##0.00"/>
    <numFmt numFmtId="178" formatCode="0.0%"/>
    <numFmt numFmtId="179" formatCode="€#,##0.000"/>
    <numFmt numFmtId="180" formatCode="dd/mm/yyyy"/>
    <numFmt numFmtId="181" formatCode="0.00"/>
    <numFmt numFmtId="182" formatCode="_-* #,##0.00_-;-* #,##0.00_-;_-* &quot;-&quot;??_-;_-@_- "/>
    <numFmt numFmtId="183" formatCode="_-* #,##0_-;-* #,##0_-;_-* &quot;-&quot;_-;_-@_- "/>
    <numFmt numFmtId="184" formatCode="_ &quot;￥&quot;* #,##0.00_ ;_ &quot;￥&quot;* \-#,##0.00_ ;_ &quot;￥&quot;* &quot;-&quot;??_ ;_ @_ "/>
    <numFmt numFmtId="185" formatCode="_ &quot;￥&quot;* #,##0_ ;_ &quot;￥&quot;* \-#,##0_ ;_ &quot;￥&quot;* &quot;-&quot;_ ;_ @_ "/>
    <numFmt numFmtId="186" formatCode="0%"/>
    <numFmt numFmtId="187" formatCode="_ &quot;￥&quot;* #,##0.00_ ;_ &quot;￥&quot;* \-#,##0.00_ ;_ &quot;￥&quot;* &quot;-&quot;??_ ;_ @_ "/>
    <numFmt numFmtId="188" formatCode="_ &quot;￥&quot;* #,##0_ ;_ &quot;￥&quot;* \-#,##0_ ;_ &quot;￥&quot;* &quot;-&quot;_ ;_ @_ "/>
    <numFmt numFmtId="189" formatCode="_ * #,##0.00_ ;_ * -#,##0.00_ ;_ * &quot;-&quot;??_ ;_ @_ "/>
    <numFmt numFmtId="190" formatCode="_ * #,##0_ ;_ * -#,##0_ ;_ * &quot;-&quot;_ ;_ @_ "/>
  </numFmts>
  <fonts count="39" x14ac:knownFonts="39">
    <font>
      <sz val="11.0"/>
      <name val="Calibri"/>
      <family val="1"/>
    </font>
    <font>
      <sz val="11.0"/>
      <name val="Calibri"/>
      <family val="1"/>
    </font>
    <font>
      <sz val="16.0"/>
      <color rgb="FFFFFFFF"/>
      <name val="Arial"/>
      <family val="2"/>
      <b/>
    </font>
    <font>
      <sz val="11.0"/>
      <color rgb="FFFFFFFF"/>
      <name val="Arial"/>
      <family val="2"/>
      <b/>
    </font>
    <font>
      <sz val="9.0"/>
      <color rgb="FF1B3A6B"/>
      <name val="Arial"/>
      <family val="2"/>
      <b/>
    </font>
    <font>
      <sz val="14.0"/>
      <color rgb="FF1B3A6B"/>
      <name val="Arial"/>
      <family val="2"/>
      <b/>
    </font>
    <font>
      <sz val="10.0"/>
      <color rgb="FFFFFFFF"/>
      <name val="Arial"/>
      <family val="2"/>
      <b/>
    </font>
    <font>
      <sz val="10.0"/>
      <color rgb="FF1B3A6B"/>
      <name val="Arial"/>
      <family val="2"/>
      <b/>
    </font>
    <font>
      <sz val="10.0"/>
      <color rgb="FF000000"/>
      <name val="Arial"/>
      <family val="2"/>
    </font>
    <font>
      <sz val="10.0"/>
      <color rgb="FF000000"/>
      <name val="Arial"/>
      <family val="2"/>
    </font>
    <font>
      <sz val="10.0"/>
      <color rgb="FFFFFFFF"/>
      <name val="Arial"/>
      <family val="2"/>
      <b/>
    </font>
    <font>
      <sz val="10.0"/>
      <color rgb="FF444444"/>
      <name val="Arial"/>
      <family val="2"/>
    </font>
    <font>
      <sz val="13.0"/>
      <color rgb="FFFFFFFF"/>
      <name val="Arial"/>
      <family val="2"/>
      <b/>
    </font>
    <font>
      <sz val="10.0"/>
      <name val="Arial"/>
      <family val="2"/>
    </font>
    <font>
      <sz val="10.0"/>
      <color rgb="FF0000FF"/>
      <name val="Arial"/>
      <family val="2"/>
      <b/>
    </font>
    <font>
      <sz val="11.0"/>
      <name val="Arial"/>
      <family val="2"/>
      <b/>
    </font>
    <font>
      <sz val="12.0"/>
      <color rgb="FFFFFFFF"/>
      <name val="Arial"/>
      <family val="2"/>
      <b/>
    </font>
    <font>
      <sz val="10.0"/>
      <name val="Arial"/>
      <family val="2"/>
      <b/>
    </font>
    <font>
      <sz val="16.0"/>
      <color rgb="FFFFFFFF"/>
      <name val="Arial"/>
      <family val="2"/>
      <b/>
    </font>
    <font>
      <sz val="11.0"/>
      <color rgb="FFFFFFFF"/>
      <name val="Arial"/>
      <family val="2"/>
      <b/>
    </font>
    <font>
      <sz val="10.0"/>
      <color rgb="FF444444"/>
      <name val="Arial"/>
      <family val="2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45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  <fill>
      <patternFill patternType="solid">
        <fgColor rgb="FF2E6DB4"/>
        <bgColor indexed="64"/>
      </patternFill>
    </fill>
    <fill>
      <patternFill patternType="solid">
        <fgColor rgb="FFD0E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8A02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>
      <alignment vertical="center"/>
    </xf>
  </cellStyleXfs>
  <cellXfs count="194"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2" applyFont="1" fillId="2" applyFill="1" borderId="0" applyAlignment="1" xfId="0">
      <alignment horizontal="center" vertical="center" wrapText="1"/>
    </xf>
    <xf numFmtId="0" fontId="3" applyFont="1" fillId="3" applyFill="1" borderId="0" applyAlignment="1" xfId="0">
      <alignment horizontal="center" vertical="center" wrapText="1"/>
    </xf>
    <xf numFmtId="0" fontId="4" applyFont="1" fillId="4" applyFill="1" borderId="0" applyAlignment="1" xfId="0">
      <alignment horizontal="center" vertical="center" wrapText="1"/>
    </xf>
    <xf numFmtId="176" applyNumberFormat="1" fontId="5" applyFont="1" fillId="5" applyFill="1" borderId="1" applyBorder="1" applyAlignment="1" xfId="0">
      <alignment horizontal="center" vertical="center"/>
    </xf>
    <xf numFmtId="177" applyNumberFormat="1" fontId="5" applyFont="1" fillId="5" applyFill="1" borderId="2" applyBorder="1" applyAlignment="1" xfId="0">
      <alignment horizontal="center" vertical="center"/>
    </xf>
    <xf numFmtId="0" fontId="6" applyFont="1" fillId="2" applyFill="1" borderId="0" applyAlignment="1" xfId="0">
      <alignment horizontal="center" vertical="center" wrapText="1"/>
    </xf>
    <xf numFmtId="0" fontId="7" applyFont="1" fillId="4" applyFill="1" borderId="3" applyBorder="1" applyAlignment="1" xfId="0">
      <alignment horizontal="left" vertical="center"/>
    </xf>
    <xf numFmtId="176" applyNumberFormat="1" fontId="8" applyFont="1" fillId="4" applyFill="1" borderId="4" applyBorder="1" applyAlignment="1" xfId="0">
      <alignment horizontal="center" vertical="center"/>
    </xf>
    <xf numFmtId="177" applyNumberFormat="1" fontId="8" applyFont="1" fillId="4" applyFill="1" borderId="5" applyBorder="1" applyAlignment="1" xfId="0">
      <alignment horizontal="center" vertical="center"/>
    </xf>
    <xf numFmtId="178" applyNumberFormat="1" fontId="9" applyFont="1" fillId="4" applyFill="1" borderId="6" applyBorder="1" applyAlignment="1" xfId="0">
      <alignment horizontal="center" vertical="center"/>
    </xf>
    <xf numFmtId="0" fontId="7" applyFont="1" fillId="6" applyFill="1" borderId="7" applyBorder="1" applyAlignment="1" xfId="0">
      <alignment horizontal="left" vertical="center"/>
    </xf>
    <xf numFmtId="176" applyNumberFormat="1" fontId="9" applyFont="1" fillId="6" applyFill="1" borderId="8" applyBorder="1" applyAlignment="1" xfId="0">
      <alignment horizontal="center" vertical="center"/>
    </xf>
    <xf numFmtId="177" applyNumberFormat="1" fontId="9" applyFont="1" fillId="6" applyFill="1" borderId="9" applyBorder="1" applyAlignment="1" xfId="0">
      <alignment horizontal="center" vertical="center"/>
    </xf>
    <xf numFmtId="178" applyNumberFormat="1" fontId="9" applyFont="1" fillId="6" applyFill="1" borderId="10" applyBorder="1" applyAlignment="1" xfId="0">
      <alignment horizontal="center" vertical="center"/>
    </xf>
    <xf numFmtId="0" fontId="7" applyFont="1" fillId="7" applyFill="1" borderId="11" applyBorder="1" applyAlignment="1" xfId="0">
      <alignment horizontal="left" vertical="center"/>
    </xf>
    <xf numFmtId="176" applyNumberFormat="1" fontId="9" applyFont="1" fillId="7" applyFill="1" borderId="12" applyBorder="1" applyAlignment="1" xfId="0">
      <alignment horizontal="center" vertical="center"/>
    </xf>
    <xf numFmtId="177" applyNumberFormat="1" fontId="9" applyFont="1" fillId="7" applyFill="1" borderId="13" applyBorder="1" applyAlignment="1" xfId="0">
      <alignment horizontal="center" vertical="center"/>
    </xf>
    <xf numFmtId="178" applyNumberFormat="1" fontId="9" applyFont="1" fillId="7" applyFill="1" borderId="14" applyBorder="1" applyAlignment="1" xfId="0">
      <alignment horizontal="center" vertical="center"/>
    </xf>
    <xf numFmtId="0" fontId="7" applyFont="1" fillId="8" applyFill="1" borderId="15" applyBorder="1" applyAlignment="1" xfId="0">
      <alignment horizontal="left" vertical="center"/>
    </xf>
    <xf numFmtId="176" applyNumberFormat="1" fontId="9" applyFont="1" fillId="8" applyFill="1" borderId="16" applyBorder="1" applyAlignment="1" xfId="0">
      <alignment horizontal="center" vertical="center"/>
    </xf>
    <xf numFmtId="177" applyNumberFormat="1" fontId="9" applyFont="1" fillId="8" applyFill="1" borderId="17" applyBorder="1" applyAlignment="1" xfId="0">
      <alignment horizontal="center" vertical="center"/>
    </xf>
    <xf numFmtId="178" applyNumberFormat="1" fontId="9" applyFont="1" fillId="8" applyFill="1" borderId="18" applyBorder="1" applyAlignment="1" xfId="0">
      <alignment horizontal="center" vertical="center"/>
    </xf>
    <xf numFmtId="0" fontId="7" applyFont="1" fillId="9" applyFill="1" borderId="19" applyBorder="1" applyAlignment="1" xfId="0">
      <alignment horizontal="left" vertical="center"/>
    </xf>
    <xf numFmtId="176" applyNumberFormat="1" fontId="9" applyFont="1" fillId="9" applyFill="1" borderId="20" applyBorder="1" applyAlignment="1" xfId="0">
      <alignment horizontal="center" vertical="center"/>
    </xf>
    <xf numFmtId="177" applyNumberFormat="1" fontId="9" applyFont="1" fillId="9" applyFill="1" borderId="21" applyBorder="1" applyAlignment="1" xfId="0">
      <alignment horizontal="center" vertical="center"/>
    </xf>
    <xf numFmtId="178" applyNumberFormat="1" fontId="9" applyFont="1" fillId="9" applyFill="1" borderId="22" applyBorder="1" applyAlignment="1" xfId="0">
      <alignment horizontal="center" vertical="center"/>
    </xf>
    <xf numFmtId="0" fontId="6" applyFont="1" fillId="2" applyFill="1" borderId="23" applyBorder="1" applyAlignment="1" xfId="0">
      <alignment horizontal="center" vertical="center"/>
    </xf>
    <xf numFmtId="176" applyNumberFormat="1" fontId="6" applyFont="1" fillId="2" applyFill="1" borderId="24" applyBorder="1" applyAlignment="1" xfId="0">
      <alignment horizontal="center" vertical="center"/>
    </xf>
    <xf numFmtId="177" applyNumberFormat="1" fontId="10" applyFont="1" fillId="2" applyFill="1" borderId="25" applyBorder="1" applyAlignment="1" xfId="0">
      <alignment horizontal="center" vertical="center"/>
    </xf>
    <xf numFmtId="178" applyNumberFormat="1" fontId="6" applyFont="1" fillId="2" applyFill="1" borderId="26" applyBorder="1" applyAlignment="1" xfId="0">
      <alignment horizontal="center" vertical="center"/>
    </xf>
    <xf numFmtId="0" fontId="3" applyFont="1" fillId="10" applyFill="1" borderId="0" applyAlignment="1" xfId="0">
      <alignment horizontal="center" vertical="center" wrapText="1"/>
    </xf>
    <xf numFmtId="0" fontId="11" applyFont="1" fillId="11" applyFill="1" borderId="27" applyBorder="1" applyAlignment="1" xfId="0">
      <alignment horizontal="left" vertical="center"/>
    </xf>
    <xf numFmtId="0" fontId="6" applyFont="1" fillId="10" applyFill="1" borderId="0" applyAlignment="1" xfId="0">
      <alignment horizontal="center" vertical="center" wrapText="1"/>
    </xf>
    <xf numFmtId="176" applyNumberFormat="1" fontId="6" applyFont="1" fillId="10" applyFill="1" borderId="0" applyAlignment="1" xfId="0">
      <alignment horizontal="center" vertical="center" wrapText="1"/>
    </xf>
    <xf numFmtId="177" applyNumberFormat="1" fontId="6" applyFont="1" fillId="10" applyFill="1" borderId="0" applyAlignment="1" xfId="0">
      <alignment horizontal="center" vertical="center" wrapText="1"/>
    </xf>
    <xf numFmtId="178" applyNumberFormat="1" fontId="6" applyFont="1" fillId="10" applyFill="1" borderId="0" applyAlignment="1" xfId="0">
      <alignment horizontal="center" vertical="center" wrapText="1"/>
    </xf>
    <xf numFmtId="0" fontId="9" applyFont="1" fillId="4" applyFill="1" borderId="28" applyBorder="1" applyAlignment="1" xfId="0">
      <alignment horizontal="left" vertical="center"/>
    </xf>
    <xf numFmtId="179" applyNumberFormat="1" fontId="9" applyFont="1" fillId="4" applyFill="1" borderId="29" applyBorder="1" applyAlignment="1" xfId="0">
      <alignment horizontal="center" vertical="center"/>
    </xf>
    <xf numFmtId="0" fontId="9" applyFont="1" fillId="6" applyFill="1" borderId="30" applyBorder="1" applyAlignment="1" xfId="0">
      <alignment horizontal="left" vertical="center"/>
    </xf>
    <xf numFmtId="179" applyNumberFormat="1" fontId="9" applyFont="1" fillId="6" applyFill="1" borderId="31" applyBorder="1" applyAlignment="1" xfId="0">
      <alignment horizontal="center" vertical="center"/>
    </xf>
    <xf numFmtId="0" fontId="9" applyFont="1" fillId="7" applyFill="1" borderId="32" applyBorder="1" applyAlignment="1" xfId="0">
      <alignment horizontal="left" vertical="center"/>
    </xf>
    <xf numFmtId="179" applyNumberFormat="1" fontId="9" applyFont="1" fillId="7" applyFill="1" borderId="33" applyBorder="1" applyAlignment="1" xfId="0">
      <alignment horizontal="center" vertical="center"/>
    </xf>
    <xf numFmtId="0" fontId="9" applyFont="1" fillId="8" applyFill="1" borderId="34" applyBorder="1" applyAlignment="1" xfId="0">
      <alignment horizontal="left" vertical="center"/>
    </xf>
    <xf numFmtId="179" applyNumberFormat="1" fontId="9" applyFont="1" fillId="8" applyFill="1" borderId="35" applyBorder="1" applyAlignment="1" xfId="0">
      <alignment horizontal="center" vertical="center"/>
    </xf>
    <xf numFmtId="0" fontId="9" applyFont="1" fillId="9" applyFill="1" borderId="36" applyBorder="1" applyAlignment="1" xfId="0">
      <alignment horizontal="left" vertical="center"/>
    </xf>
    <xf numFmtId="179" applyNumberFormat="1" fontId="9" applyFont="1" fillId="9" applyFill="1" borderId="37" applyBorder="1" applyAlignment="1" xfId="0">
      <alignment horizontal="center" vertical="center"/>
    </xf>
    <xf numFmtId="0" fontId="12" applyFont="1" fillId="12" applyFill="1" borderId="0" applyAlignment="1" xfId="0">
      <alignment horizontal="center" vertical="center" wrapText="1"/>
    </xf>
    <xf numFmtId="180" applyNumberFormat="1" fontId="13" applyFont="1" fillId="4" applyFill="1" borderId="38" applyBorder="1" applyAlignment="1" xfId="0">
      <alignment horizontal="center" vertical="center"/>
    </xf>
    <xf numFmtId="0" fontId="13" applyFont="1" fillId="4" applyFill="1" borderId="39" applyBorder="1" applyAlignment="1" xfId="0">
      <alignment horizontal="center" vertical="center"/>
    </xf>
    <xf numFmtId="176" applyNumberFormat="1" fontId="13" applyFont="1" fillId="4" applyFill="1" borderId="40" applyBorder="1" applyAlignment="1" xfId="0">
      <alignment horizontal="center" vertical="center"/>
    </xf>
    <xf numFmtId="179" applyNumberFormat="1" fontId="13" applyFont="1" fillId="4" applyFill="1" borderId="41" applyBorder="1" applyAlignment="1" xfId="0">
      <alignment horizontal="center" vertical="center"/>
    </xf>
    <xf numFmtId="177" applyNumberFormat="1" fontId="13" applyFont="1" fillId="4" applyFill="1" borderId="42" applyBorder="1" applyAlignment="1" xfId="0">
      <alignment horizontal="center" vertical="center"/>
    </xf>
    <xf numFmtId="180" applyNumberFormat="1" fontId="13" applyFont="1" fillId="6" applyFill="1" borderId="43" applyBorder="1" applyAlignment="1" xfId="0">
      <alignment horizontal="center" vertical="center"/>
    </xf>
    <xf numFmtId="0" fontId="13" applyFont="1" fillId="6" applyFill="1" borderId="44" applyBorder="1" applyAlignment="1" xfId="0">
      <alignment horizontal="center" vertical="center"/>
    </xf>
    <xf numFmtId="176" applyNumberFormat="1" fontId="13" applyFont="1" fillId="6" applyFill="1" borderId="45" applyBorder="1" applyAlignment="1" xfId="0">
      <alignment horizontal="center" vertical="center"/>
    </xf>
    <xf numFmtId="179" applyNumberFormat="1" fontId="13" applyFont="1" fillId="6" applyFill="1" borderId="46" applyBorder="1" applyAlignment="1" xfId="0">
      <alignment horizontal="center" vertical="center"/>
    </xf>
    <xf numFmtId="177" applyNumberFormat="1" fontId="13" applyFont="1" fillId="6" applyFill="1" borderId="47" applyBorder="1" applyAlignment="1" xfId="0">
      <alignment horizontal="center" vertical="center"/>
    </xf>
    <xf numFmtId="180" applyNumberFormat="1" fontId="13" applyFont="1" fillId="7" applyFill="1" borderId="48" applyBorder="1" applyAlignment="1" xfId="0">
      <alignment horizontal="center" vertical="center"/>
    </xf>
    <xf numFmtId="0" fontId="13" applyFont="1" fillId="7" applyFill="1" borderId="49" applyBorder="1" applyAlignment="1" xfId="0">
      <alignment horizontal="center" vertical="center"/>
    </xf>
    <xf numFmtId="176" applyNumberFormat="1" fontId="13" applyFont="1" fillId="7" applyFill="1" borderId="50" applyBorder="1" applyAlignment="1" xfId="0">
      <alignment horizontal="center" vertical="center"/>
    </xf>
    <xf numFmtId="179" applyNumberFormat="1" fontId="13" applyFont="1" fillId="7" applyFill="1" borderId="51" applyBorder="1" applyAlignment="1" xfId="0">
      <alignment horizontal="center" vertical="center"/>
    </xf>
    <xf numFmtId="177" applyNumberFormat="1" fontId="13" applyFont="1" fillId="7" applyFill="1" borderId="52" applyBorder="1" applyAlignment="1" xfId="0">
      <alignment horizontal="center" vertical="center"/>
    </xf>
    <xf numFmtId="180" applyNumberFormat="1" fontId="13" applyFont="1" fillId="8" applyFill="1" borderId="53" applyBorder="1" applyAlignment="1" xfId="0">
      <alignment horizontal="center" vertical="center"/>
    </xf>
    <xf numFmtId="0" fontId="13" applyFont="1" fillId="8" applyFill="1" borderId="54" applyBorder="1" applyAlignment="1" xfId="0">
      <alignment horizontal="center" vertical="center"/>
    </xf>
    <xf numFmtId="176" applyNumberFormat="1" fontId="13" applyFont="1" fillId="8" applyFill="1" borderId="55" applyBorder="1" applyAlignment="1" xfId="0">
      <alignment horizontal="center" vertical="center"/>
    </xf>
    <xf numFmtId="179" applyNumberFormat="1" fontId="13" applyFont="1" fillId="8" applyFill="1" borderId="56" applyBorder="1" applyAlignment="1" xfId="0">
      <alignment horizontal="center" vertical="center"/>
    </xf>
    <xf numFmtId="177" applyNumberFormat="1" fontId="13" applyFont="1" fillId="8" applyFill="1" borderId="57" applyBorder="1" applyAlignment="1" xfId="0">
      <alignment horizontal="center" vertical="center"/>
    </xf>
    <xf numFmtId="180" applyNumberFormat="1" fontId="13" applyFont="1" fillId="9" applyFill="1" borderId="58" applyBorder="1" applyAlignment="1" xfId="0">
      <alignment horizontal="center" vertical="center"/>
    </xf>
    <xf numFmtId="0" fontId="13" applyFont="1" fillId="9" applyFill="1" borderId="59" applyBorder="1" applyAlignment="1" xfId="0">
      <alignment horizontal="center" vertical="center"/>
    </xf>
    <xf numFmtId="176" applyNumberFormat="1" fontId="13" applyFont="1" fillId="9" applyFill="1" borderId="60" applyBorder="1" applyAlignment="1" xfId="0">
      <alignment horizontal="center" vertical="center"/>
    </xf>
    <xf numFmtId="179" applyNumberFormat="1" fontId="13" applyFont="1" fillId="9" applyFill="1" borderId="61" applyBorder="1" applyAlignment="1" xfId="0">
      <alignment horizontal="center" vertical="center"/>
    </xf>
    <xf numFmtId="177" applyNumberFormat="1" fontId="13" applyFont="1" fillId="9" applyFill="1" borderId="62" applyBorder="1" applyAlignment="1" xfId="0">
      <alignment horizontal="center" vertical="center"/>
    </xf>
    <xf numFmtId="0" fontId="12" applyFont="1" fillId="13" applyFill="1" borderId="0" applyAlignment="1" xfId="0">
      <alignment horizontal="center" vertical="center" wrapText="1"/>
    </xf>
    <xf numFmtId="0" fontId="12" applyFont="1" fillId="3" applyFill="1" borderId="0" applyAlignment="1" xfId="0">
      <alignment horizontal="center" vertical="center" wrapText="1"/>
    </xf>
    <xf numFmtId="176" applyNumberFormat="1" fontId="14" applyFont="1" fillId="4" applyFill="1" borderId="63" applyBorder="1" applyAlignment="1" xfId="0">
      <alignment horizontal="center" vertical="center"/>
    </xf>
    <xf numFmtId="176" applyNumberFormat="1" fontId="14" applyFont="1" fillId="6" applyFill="1" borderId="64" applyBorder="1" applyAlignment="1" xfId="0">
      <alignment horizontal="center" vertical="center"/>
    </xf>
    <xf numFmtId="176" applyNumberFormat="1" fontId="14" applyFont="1" fillId="7" applyFill="1" borderId="65" applyBorder="1" applyAlignment="1" xfId="0">
      <alignment horizontal="center" vertical="center"/>
    </xf>
    <xf numFmtId="176" applyNumberFormat="1" fontId="14" applyFont="1" fillId="8" applyFill="1" borderId="66" applyBorder="1" applyAlignment="1" xfId="0">
      <alignment horizontal="center" vertical="center"/>
    </xf>
    <xf numFmtId="176" applyNumberFormat="1" fontId="14" applyFont="1" fillId="9" applyFill="1" borderId="67" applyBorder="1" applyAlignment="1" xfId="0">
      <alignment horizontal="center" vertical="center"/>
    </xf>
    <xf numFmtId="176" applyNumberFormat="1" fontId="3" applyFont="1" fillId="10" applyFill="1" borderId="0" applyAlignment="1" xfId="0">
      <alignment horizontal="center" vertical="center" wrapText="1"/>
    </xf>
    <xf numFmtId="177" applyNumberFormat="1" fontId="3" applyFont="1" fillId="10" applyFill="1" borderId="0" applyAlignment="1" xfId="0">
      <alignment horizontal="center" vertical="center" wrapText="1"/>
    </xf>
    <xf numFmtId="181" applyNumberFormat="1" fontId="13" applyFont="1" fillId="4" applyFill="1" borderId="68" applyBorder="1" applyAlignment="1" xfId="0">
      <alignment horizontal="center" vertical="center"/>
    </xf>
    <xf numFmtId="181" applyNumberFormat="1" fontId="13" applyFont="1" fillId="6" applyFill="1" borderId="69" applyBorder="1" applyAlignment="1" xfId="0">
      <alignment horizontal="center" vertical="center"/>
    </xf>
    <xf numFmtId="181" applyNumberFormat="1" fontId="13" applyFont="1" fillId="7" applyFill="1" borderId="70" applyBorder="1" applyAlignment="1" xfId="0">
      <alignment horizontal="center" vertical="center"/>
    </xf>
    <xf numFmtId="181" applyNumberFormat="1" fontId="13" applyFont="1" fillId="8" applyFill="1" borderId="71" applyBorder="1" applyAlignment="1" xfId="0">
      <alignment horizontal="center" vertical="center"/>
    </xf>
    <xf numFmtId="181" applyNumberFormat="1" fontId="13" applyFont="1" fillId="9" applyFill="1" borderId="72" applyBorder="1" applyAlignment="1" xfId="0">
      <alignment horizontal="center" vertical="center"/>
    </xf>
    <xf numFmtId="181" applyNumberFormat="1" fontId="3" applyFont="1" fillId="10" applyFill="1" borderId="0" applyAlignment="1" xfId="0">
      <alignment horizontal="center" vertical="center" wrapText="1"/>
    </xf>
    <xf numFmtId="0" fontId="12" applyFont="1" fillId="2" applyFill="1" borderId="0" applyAlignment="1" xfId="0">
      <alignment horizontal="center" vertical="center" wrapText="1"/>
    </xf>
    <xf numFmtId="178" applyNumberFormat="1" fontId="13" applyFont="1" fillId="4" applyFill="1" borderId="73" applyBorder="1" applyAlignment="1" xfId="0">
      <alignment horizontal="center" vertical="center"/>
    </xf>
    <xf numFmtId="178" applyNumberFormat="1" fontId="13" applyFont="1" fillId="6" applyFill="1" borderId="74" applyBorder="1" applyAlignment="1" xfId="0">
      <alignment horizontal="center" vertical="center"/>
    </xf>
    <xf numFmtId="178" applyNumberFormat="1" fontId="13" applyFont="1" fillId="7" applyFill="1" borderId="75" applyBorder="1" applyAlignment="1" xfId="0">
      <alignment horizontal="center" vertical="center"/>
    </xf>
    <xf numFmtId="178" applyNumberFormat="1" fontId="13" applyFont="1" fillId="8" applyFill="1" borderId="76" applyBorder="1" applyAlignment="1" xfId="0">
      <alignment horizontal="center" vertical="center"/>
    </xf>
    <xf numFmtId="178" applyNumberFormat="1" fontId="13" applyFont="1" fillId="9" applyFill="1" borderId="77" applyBorder="1" applyAlignment="1" xfId="0">
      <alignment horizontal="center" vertical="center"/>
    </xf>
    <xf numFmtId="0" fontId="3" applyFont="1" fillId="2" applyFill="1" borderId="0" applyAlignment="1" xfId="0">
      <alignment horizontal="center" vertical="center" wrapText="1"/>
    </xf>
    <xf numFmtId="176" applyNumberFormat="1" fontId="3" applyFont="1" fillId="2" applyFill="1" borderId="0" applyAlignment="1" xfId="0">
      <alignment horizontal="center" vertical="center" wrapText="1"/>
    </xf>
    <xf numFmtId="177" applyNumberFormat="1" fontId="3" applyFont="1" fillId="2" applyFill="1" borderId="0" applyAlignment="1" xfId="0">
      <alignment horizontal="center" vertical="center" wrapText="1"/>
    </xf>
    <xf numFmtId="178" applyNumberFormat="1" fontId="3" applyFont="1" fillId="2" applyFill="1" borderId="0" applyAlignment="1" xfId="0">
      <alignment horizontal="center" vertical="center" wrapText="1"/>
    </xf>
    <xf numFmtId="0" fontId="15" applyFont="1" fillId="4" applyFill="1" borderId="78" applyBorder="1" applyAlignment="1" xfId="0">
      <alignment horizontal="center" vertical="center"/>
    </xf>
    <xf numFmtId="176" applyNumberFormat="1" fontId="15" applyFont="1" fillId="4" applyFill="1" borderId="79" applyBorder="1" applyAlignment="1" xfId="0">
      <alignment horizontal="center" vertical="center"/>
    </xf>
    <xf numFmtId="177" applyNumberFormat="1" fontId="15" applyFont="1" fillId="4" applyFill="1" borderId="80" applyBorder="1" applyAlignment="1" xfId="0">
      <alignment horizontal="center" vertical="center"/>
    </xf>
    <xf numFmtId="178" applyNumberFormat="1" fontId="15" applyFont="1" fillId="4" applyFill="1" borderId="81" applyBorder="1" applyAlignment="1" xfId="0">
      <alignment horizontal="center" vertical="center"/>
    </xf>
    <xf numFmtId="0" fontId="15" applyFont="1" fillId="6" applyFill="1" borderId="82" applyBorder="1" applyAlignment="1" xfId="0">
      <alignment horizontal="center" vertical="center"/>
    </xf>
    <xf numFmtId="176" applyNumberFormat="1" fontId="15" applyFont="1" fillId="6" applyFill="1" borderId="83" applyBorder="1" applyAlignment="1" xfId="0">
      <alignment horizontal="center" vertical="center"/>
    </xf>
    <xf numFmtId="177" applyNumberFormat="1" fontId="15" applyFont="1" fillId="6" applyFill="1" borderId="84" applyBorder="1" applyAlignment="1" xfId="0">
      <alignment horizontal="center" vertical="center"/>
    </xf>
    <xf numFmtId="178" applyNumberFormat="1" fontId="15" applyFont="1" fillId="6" applyFill="1" borderId="85" applyBorder="1" applyAlignment="1" xfId="0">
      <alignment horizontal="center" vertical="center"/>
    </xf>
    <xf numFmtId="0" fontId="15" applyFont="1" fillId="7" applyFill="1" borderId="86" applyBorder="1" applyAlignment="1" xfId="0">
      <alignment horizontal="center" vertical="center"/>
    </xf>
    <xf numFmtId="176" applyNumberFormat="1" fontId="15" applyFont="1" fillId="7" applyFill="1" borderId="87" applyBorder="1" applyAlignment="1" xfId="0">
      <alignment horizontal="center" vertical="center"/>
    </xf>
    <xf numFmtId="177" applyNumberFormat="1" fontId="15" applyFont="1" fillId="7" applyFill="1" borderId="88" applyBorder="1" applyAlignment="1" xfId="0">
      <alignment horizontal="center" vertical="center"/>
    </xf>
    <xf numFmtId="178" applyNumberFormat="1" fontId="15" applyFont="1" fillId="7" applyFill="1" borderId="89" applyBorder="1" applyAlignment="1" xfId="0">
      <alignment horizontal="center" vertical="center"/>
    </xf>
    <xf numFmtId="0" fontId="15" applyFont="1" fillId="8" applyFill="1" borderId="90" applyBorder="1" applyAlignment="1" xfId="0">
      <alignment horizontal="center" vertical="center"/>
    </xf>
    <xf numFmtId="176" applyNumberFormat="1" fontId="15" applyFont="1" fillId="8" applyFill="1" borderId="91" applyBorder="1" applyAlignment="1" xfId="0">
      <alignment horizontal="center" vertical="center"/>
    </xf>
    <xf numFmtId="177" applyNumberFormat="1" fontId="15" applyFont="1" fillId="8" applyFill="1" borderId="92" applyBorder="1" applyAlignment="1" xfId="0">
      <alignment horizontal="center" vertical="center"/>
    </xf>
    <xf numFmtId="178" applyNumberFormat="1" fontId="15" applyFont="1" fillId="8" applyFill="1" borderId="93" applyBorder="1" applyAlignment="1" xfId="0">
      <alignment horizontal="center" vertical="center"/>
    </xf>
    <xf numFmtId="0" fontId="15" applyFont="1" fillId="9" applyFill="1" borderId="94" applyBorder="1" applyAlignment="1" xfId="0">
      <alignment horizontal="center" vertical="center"/>
    </xf>
    <xf numFmtId="176" applyNumberFormat="1" fontId="15" applyFont="1" fillId="9" applyFill="1" borderId="95" applyBorder="1" applyAlignment="1" xfId="0">
      <alignment horizontal="center" vertical="center"/>
    </xf>
    <xf numFmtId="177" applyNumberFormat="1" fontId="15" applyFont="1" fillId="9" applyFill="1" borderId="96" applyBorder="1" applyAlignment="1" xfId="0">
      <alignment horizontal="center" vertical="center"/>
    </xf>
    <xf numFmtId="178" applyNumberFormat="1" fontId="15" applyFont="1" fillId="9" applyFill="1" borderId="97" applyBorder="1" applyAlignment="1" xfId="0">
      <alignment horizontal="center" vertical="center"/>
    </xf>
    <xf numFmtId="0" fontId="16" applyFont="1" fillId="10" applyFill="1" borderId="0" applyAlignment="1" xfId="0">
      <alignment horizontal="center" vertical="center" wrapText="1"/>
    </xf>
    <xf numFmtId="176" applyNumberFormat="1" fontId="16" applyFont="1" fillId="10" applyFill="1" borderId="0" applyAlignment="1" xfId="0">
      <alignment horizontal="center" vertical="center" wrapText="1"/>
    </xf>
    <xf numFmtId="177" applyNumberFormat="1" fontId="16" applyFont="1" fillId="10" applyFill="1" borderId="0" applyAlignment="1" xfId="0">
      <alignment horizontal="center" vertical="center" wrapText="1"/>
    </xf>
    <xf numFmtId="178" applyNumberFormat="1" fontId="3" applyFont="1" fillId="10" applyFill="1" borderId="0" applyAlignment="1" xfId="0">
      <alignment horizontal="center" vertical="center" wrapText="1"/>
    </xf>
    <xf numFmtId="0" fontId="17" applyFont="1" fillId="4" applyFill="1" borderId="98" applyBorder="1" applyAlignment="1" xfId="0">
      <alignment horizontal="center" vertical="center"/>
    </xf>
    <xf numFmtId="0" fontId="17" applyFont="1" fillId="11" applyFill="1" borderId="99" applyBorder="1" applyAlignment="1" xfId="0">
      <alignment horizontal="center" vertical="center"/>
    </xf>
    <xf numFmtId="176" applyNumberFormat="1" fontId="13" applyFont="1" fillId="11" applyFill="1" borderId="100" applyBorder="1" applyAlignment="1" xfId="0">
      <alignment horizontal="center" vertical="center"/>
    </xf>
    <xf numFmtId="177" applyNumberFormat="1" fontId="13" applyFont="1" fillId="11" applyFill="1" borderId="101" applyBorder="1" applyAlignment="1" xfId="0">
      <alignment horizontal="center" vertical="center"/>
    </xf>
    <xf numFmtId="178" applyNumberFormat="1" fontId="13" applyFont="1" fillId="11" applyFill="1" borderId="102" applyBorder="1" applyAlignment="1" xfId="0">
      <alignment horizontal="center" vertical="center"/>
    </xf>
    <xf numFmtId="0" fontId="13" applyFont="1" fillId="11" applyFill="1" borderId="103" applyBorder="1" applyAlignment="1" xfId="0">
      <alignment horizontal="center" vertical="center"/>
    </xf>
    <xf numFmtId="0" fontId="1" applyFont="1" fillId="0" borderId="0" applyAlignment="1" xfId="0">
      <alignment vertical="center"/>
    </xf>
    <xf numFmtId="0" fontId="13" applyFont="1" fillId="0" borderId="0" applyAlignment="1" xfId="0"/>
    <xf numFmtId="0" fontId="1" applyFont="1" fillId="0" borderId="0" applyAlignment="1" xfId="0"/>
    <xf numFmtId="182" applyNumberFormat="1" fontId="13" applyFont="1" fillId="0" borderId="0" applyAlignment="1" xfId="0"/>
    <xf numFmtId="183" applyNumberFormat="1" fontId="13" applyFont="1" fillId="0" borderId="0" applyAlignment="1" xfId="0"/>
    <xf numFmtId="184" applyNumberFormat="1" fontId="13" applyFont="1" fillId="0" borderId="0" applyAlignment="1" xfId="0"/>
    <xf numFmtId="185" applyNumberFormat="1" fontId="13" applyFont="1" fillId="0" borderId="0" applyAlignment="1" xfId="0"/>
    <xf numFmtId="186" applyNumberFormat="1" fontId="13" applyFont="1" fillId="0" borderId="0" applyAlignment="1" xfId="0"/>
    <xf numFmtId="0" fontId="1" applyFont="1" fillId="0" borderId="0" applyAlignment="1" xfId="0">
      <alignment vertical="center"/>
    </xf>
    <xf numFmtId="0" fontId="18" applyFont="1" fillId="2" applyFill="1" borderId="0" applyAlignment="1" xfId="0">
      <alignment horizontal="center" vertical="center" wrapText="1"/>
    </xf>
    <xf numFmtId="0" fontId="19" applyFont="1" fillId="3" applyFill="1" borderId="0" applyAlignment="1" xfId="0">
      <alignment horizontal="center" vertical="center" wrapText="1"/>
    </xf>
    <xf numFmtId="0" fontId="19" applyFont="1" fillId="10" applyFill="1" borderId="0" applyAlignment="1" xfId="0">
      <alignment horizontal="center" vertical="center" wrapText="1"/>
    </xf>
    <xf numFmtId="0" fontId="20" applyFont="1" fillId="11" applyFill="1" borderId="104" applyBorder="1" applyAlignment="1" xfId="0">
      <alignment horizontal="left" vertical="center"/>
    </xf>
    <xf numFmtId="0" fontId="21" applyFont="1" fillId="14" applyFill="1" borderId="0" applyAlignment="1" xfId="0">
      <alignment vertical="center"/>
    </xf>
    <xf numFmtId="0" fontId="22" applyFont="1" fillId="15" applyFill="1" borderId="0" applyAlignment="1" xfId="0">
      <alignment vertical="center"/>
    </xf>
    <xf numFmtId="0" fontId="23" applyFont="1" fillId="16" applyFill="1" borderId="0" applyAlignment="1" xfId="0">
      <alignment vertical="center"/>
    </xf>
    <xf numFmtId="0" fontId="24" applyFont="1" fillId="17" applyFill="1" borderId="105" applyBorder="1" applyAlignment="1" xfId="0">
      <alignment vertical="center"/>
    </xf>
    <xf numFmtId="0" fontId="25" applyFont="1" fillId="18" applyFill="1" borderId="106" applyBorder="1" applyAlignment="1" xfId="0">
      <alignment vertical="center"/>
    </xf>
    <xf numFmtId="0" fontId="26" applyFont="1" fillId="0" borderId="0" applyAlignment="1" xfId="0">
      <alignment vertical="center"/>
    </xf>
    <xf numFmtId="0" fontId="27" applyFont="1" fillId="0" borderId="0" applyAlignment="1" xfId="0">
      <alignment vertical="center"/>
    </xf>
    <xf numFmtId="0" fontId="28" applyFont="1" fillId="0" borderId="107" applyBorder="1" applyAlignment="1" xfId="0">
      <alignment vertical="center"/>
    </xf>
    <xf numFmtId="0" fontId="29" applyFont="1" fillId="17" applyFill="1" borderId="108" applyBorder="1" applyAlignment="1" xfId="0">
      <alignment vertical="center"/>
    </xf>
    <xf numFmtId="0" fontId="30" applyFont="1" fillId="19" applyFill="1" borderId="109" applyBorder="1" applyAlignment="1" xfId="0">
      <alignment vertical="center"/>
    </xf>
    <xf numFmtId="0" fontId="1" applyFont="1" fillId="20" applyFill="1" borderId="110" applyBorder="1" applyAlignment="1" xfId="0">
      <alignment vertical="center"/>
    </xf>
    <xf numFmtId="0" fontId="31" applyFont="1" fillId="0" borderId="0" applyAlignment="1" xfId="0">
      <alignment vertical="center"/>
    </xf>
    <xf numFmtId="0" fontId="32" applyFont="1" fillId="0" borderId="111" applyBorder="1" applyAlignment="1" xfId="0">
      <alignment vertical="center"/>
    </xf>
    <xf numFmtId="0" fontId="33" applyFont="1" fillId="0" borderId="112" applyBorder="1" applyAlignment="1" xfId="0">
      <alignment vertical="center"/>
    </xf>
    <xf numFmtId="0" fontId="34" applyFont="1" fillId="0" borderId="113" applyBorder="1" applyAlignment="1" xfId="0">
      <alignment vertical="center"/>
    </xf>
    <xf numFmtId="0" fontId="34" applyFont="1" fillId="0" borderId="0" applyAlignment="1" xfId="0">
      <alignment vertical="center"/>
    </xf>
    <xf numFmtId="0" fontId="35" applyFont="1" fillId="0" borderId="114" applyBorder="1" applyAlignment="1" xfId="0">
      <alignment vertical="center"/>
    </xf>
    <xf numFmtId="0" fontId="36" applyFont="1" fillId="21" applyFill="1" borderId="0" applyAlignment="1" xfId="0">
      <alignment vertical="center"/>
    </xf>
    <xf numFmtId="0" fontId="36" applyFont="1" fillId="22" applyFill="1" borderId="0" applyAlignment="1" xfId="0">
      <alignment vertical="center"/>
    </xf>
    <xf numFmtId="0" fontId="36" applyFont="1" fillId="23" applyFill="1" borderId="0" applyAlignment="1" xfId="0">
      <alignment vertical="center"/>
    </xf>
    <xf numFmtId="0" fontId="36" applyFont="1" fillId="24" applyFill="1" borderId="0" applyAlignment="1" xfId="0">
      <alignment vertical="center"/>
    </xf>
    <xf numFmtId="0" fontId="36" applyFont="1" fillId="25" applyFill="1" borderId="0" applyAlignment="1" xfId="0">
      <alignment vertical="center"/>
    </xf>
    <xf numFmtId="0" fontId="36" applyFont="1" fillId="26" applyFill="1" borderId="0" applyAlignment="1" xfId="0">
      <alignment vertical="center"/>
    </xf>
    <xf numFmtId="0" fontId="36" applyFont="1" fillId="27" applyFill="1" borderId="0" applyAlignment="1" xfId="0">
      <alignment vertical="center"/>
    </xf>
    <xf numFmtId="0" fontId="36" applyFont="1" fillId="28" applyFill="1" borderId="0" applyAlignment="1" xfId="0">
      <alignment vertical="center"/>
    </xf>
    <xf numFmtId="0" fontId="36" applyFont="1" fillId="29" applyFill="1" borderId="0" applyAlignment="1" xfId="0">
      <alignment vertical="center"/>
    </xf>
    <xf numFmtId="0" fontId="36" applyFont="1" fillId="30" applyFill="1" borderId="0" applyAlignment="1" xfId="0">
      <alignment vertical="center"/>
    </xf>
    <xf numFmtId="0" fontId="36" applyFont="1" fillId="31" applyFill="1" borderId="0" applyAlignment="1" xfId="0">
      <alignment vertical="center"/>
    </xf>
    <xf numFmtId="0" fontId="36" applyFont="1" fillId="32" applyFill="1" borderId="0" applyAlignment="1" xfId="0">
      <alignment vertical="center"/>
    </xf>
    <xf numFmtId="0" fontId="37" applyFont="1" fillId="33" applyFill="1" borderId="0" applyAlignment="1" xfId="0">
      <alignment vertical="center"/>
    </xf>
    <xf numFmtId="0" fontId="37" applyFont="1" fillId="34" applyFill="1" borderId="0" applyAlignment="1" xfId="0">
      <alignment vertical="center"/>
    </xf>
    <xf numFmtId="0" fontId="37" applyFont="1" fillId="35" applyFill="1" borderId="0" applyAlignment="1" xfId="0">
      <alignment vertical="center"/>
    </xf>
    <xf numFmtId="0" fontId="37" applyFont="1" fillId="36" applyFill="1" borderId="0" applyAlignment="1" xfId="0">
      <alignment vertical="center"/>
    </xf>
    <xf numFmtId="0" fontId="37" applyFont="1" fillId="37" applyFill="1" borderId="0" applyAlignment="1" xfId="0">
      <alignment vertical="center"/>
    </xf>
    <xf numFmtId="0" fontId="37" applyFont="1" fillId="38" applyFill="1" borderId="0" applyAlignment="1" xfId="0">
      <alignment vertical="center"/>
    </xf>
    <xf numFmtId="0" fontId="37" applyFont="1" fillId="39" applyFill="1" borderId="0" applyAlignment="1" xfId="0">
      <alignment vertical="center"/>
    </xf>
    <xf numFmtId="0" fontId="37" applyFont="1" fillId="40" applyFill="1" borderId="0" applyAlignment="1" xfId="0">
      <alignment vertical="center"/>
    </xf>
    <xf numFmtId="0" fontId="37" applyFont="1" fillId="41" applyFill="1" borderId="0" applyAlignment="1" xfId="0">
      <alignment vertical="center"/>
    </xf>
    <xf numFmtId="0" fontId="37" applyFont="1" fillId="42" applyFill="1" borderId="0" applyAlignment="1" xfId="0">
      <alignment vertical="center"/>
    </xf>
    <xf numFmtId="0" fontId="37" applyFont="1" fillId="43" applyFill="1" borderId="0" applyAlignment="1" xfId="0">
      <alignment vertical="center"/>
    </xf>
    <xf numFmtId="0" fontId="37" applyFont="1" fillId="44" applyFill="1" borderId="0" applyAlignment="1" xfId="0">
      <alignment vertical="center"/>
    </xf>
    <xf numFmtId="186" applyNumberFormat="1" fontId="1" applyFont="1" fillId="0" borderId="0" applyAlignment="1" xfId="0">
      <alignment vertical="center"/>
    </xf>
    <xf numFmtId="187" applyNumberFormat="1" fontId="1" applyFont="1" fillId="0" borderId="0" applyAlignment="1" xfId="0">
      <alignment vertical="center"/>
    </xf>
    <xf numFmtId="188" applyNumberFormat="1" fontId="1" applyFont="1" fillId="0" borderId="0" applyAlignment="1" xfId="0">
      <alignment vertical="center"/>
    </xf>
    <xf numFmtId="189" applyNumberFormat="1" fontId="1" applyFont="1" fillId="0" borderId="0" applyAlignment="1" xfId="0">
      <alignment vertical="center"/>
    </xf>
    <xf numFmtId="190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12" applyFont="1" fillId="12" applyFill="1" borderId="0" applyAlignment="1" xfId="0">
      <alignment horizontal="center" vertical="center" wrapText="1"/>
    </xf>
    <xf numFmtId="0" fontId="12" applyFont="1" fillId="13" applyFill="1" borderId="0" applyAlignment="1" xfId="0">
      <alignment horizontal="center" vertical="center" wrapText="1"/>
    </xf>
    <xf numFmtId="0" fontId="12" applyFont="1" fillId="3" applyFill="1" borderId="0" applyAlignment="1" xfId="0">
      <alignment horizontal="center" vertical="center" wrapText="1"/>
    </xf>
    <xf numFmtId="0" fontId="12" applyFont="1" fillId="2" applyFill="1" borderId="0" applyAlignment="1" xfId="0">
      <alignment horizontal="center" vertical="center" wrapText="1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B3A6B"/>
    <outlinePr showOutlineSymbols="1"/>
  </sheetPr>
  <dimension ref="A1:I25"/>
  <sheetViews>
    <sheetView zoomScaleNormal="100" topLeftCell="F1" workbookViewId="0">
      <pane ySplit="3" topLeftCell="F4" activePane="bottomLeft" state="frozen"/>
      <selection activeCell="G6" activeCellId="0" sqref="G6"/>
      <selection pane="bottomLeft" activeCell="G6" activeCellId="0" sqref="G6"/>
    </sheetView>
  </sheetViews>
  <sheetFormatPr defaultRowHeight="15.0" defaultColWidth="8.666666666666666" x14ac:dyDescent="0.15"/>
  <cols>
    <col min="1" max="1" width="2.0" customWidth="1" style="1"/>
    <col min="2" max="2" width="22.0" customWidth="1" style="1"/>
    <col min="3" max="8" width="16.0" customWidth="1" style="1"/>
    <col min="9" max="9" width="2.0" customWidth="1" style="1"/>
  </cols>
  <sheetData>
    <row r="1" spans="1:1" ht="7.5" customHeight="1" x14ac:dyDescent="0.15"/>
    <row r="2" spans="1:8" ht="39.75" customHeight="1" x14ac:dyDescent="0.15">
      <c r="B2" s="138" t="s">
        <v>0</v>
      </c>
      <c r="C2" s="138"/>
      <c r="D2" s="138"/>
      <c r="E2" s="138"/>
      <c r="F2" s="138"/>
      <c r="G2" s="138"/>
      <c r="H2" s="138"/>
    </row>
    <row r="3" spans="1:1" ht="7.5" customHeight="1" x14ac:dyDescent="0.15"/>
    <row r="4" spans="1:8" ht="24.0" customHeight="1" x14ac:dyDescent="0.15">
      <c r="B4" s="139" t="s">
        <v>1</v>
      </c>
      <c r="C4" s="139"/>
      <c r="D4" s="139"/>
      <c r="E4" s="139"/>
      <c r="F4" s="139"/>
      <c r="G4" s="139"/>
      <c r="H4" s="139"/>
    </row>
    <row r="5" spans="1:7" ht="18.0" customHeight="1" x14ac:dyDescent="0.15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1:7" ht="30.0" customHeight="1" x14ac:dyDescent="0.15">
      <c r="B6" s="5">
        <f>'📦 Prodotti'!C2</f>
        <v>392000</v>
      </c>
      <c r="C6" s="5">
        <f>'📦 Prodotti'!D2</f>
        <v>341380</v>
      </c>
      <c r="D6" s="5">
        <f>'📦 Prodotti'!E2</f>
        <v>50620</v>
      </c>
      <c r="E6" s="6">
        <f>'📦 Prodotti'!H2</f>
        <v>105720.5</v>
      </c>
      <c r="F6" s="6">
        <f>F15</f>
        <v>50806.61</v>
      </c>
      <c r="G6" s="6">
        <f>'📦 Prodotti'!I2</f>
        <v>54913.88599999999</v>
      </c>
    </row>
    <row r="7" spans="1:1" ht="9.75" customHeight="1" x14ac:dyDescent="0.15"/>
    <row r="8" spans="1:8" ht="21.75" customHeight="1" x14ac:dyDescent="0.15">
      <c r="B8" s="139" t="s">
        <v>8</v>
      </c>
      <c r="C8" s="139"/>
      <c r="D8" s="139"/>
      <c r="E8" s="139"/>
      <c r="F8" s="139"/>
      <c r="G8" s="139"/>
      <c r="H8" s="139"/>
    </row>
    <row r="9" spans="1:8" ht="19.5" customHeight="1" x14ac:dyDescent="0.15"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</row>
    <row r="10" spans="1:8" ht="18.0" customHeight="1" x14ac:dyDescent="0.15">
      <c r="B10" s="8" t="s">
        <v>16</v>
      </c>
      <c r="C10" s="9">
        <f>'📈 Per Tipologia'!C4</f>
        <v>217000</v>
      </c>
      <c r="D10" s="9">
        <f>'📈 Per Tipologia'!D4</f>
        <v>169600</v>
      </c>
      <c r="E10" s="9">
        <f>'📈 Per Tipologia'!E4</f>
        <v>47400</v>
      </c>
      <c r="F10" s="10">
        <f>'📈 Per Tipologia'!F4</f>
        <v>32986.84</v>
      </c>
      <c r="G10" s="10">
        <f>'📈 Per Tipologia'!G4</f>
        <v>73404.1</v>
      </c>
      <c r="H10" s="11">
        <f>'📈 Per Tipologia'!I4</f>
        <v>0.5506131128915143</v>
      </c>
    </row>
    <row r="11" spans="1:8" ht="18.0" customHeight="1" x14ac:dyDescent="0.15">
      <c r="B11" s="12" t="s">
        <v>17</v>
      </c>
      <c r="C11" s="13">
        <f>'📈 Per Tipologia'!C5</f>
        <v>53000</v>
      </c>
      <c r="D11" s="13">
        <f>'📈 Per Tipologia'!D5</f>
        <v>47000</v>
      </c>
      <c r="E11" s="13">
        <f>'📈 Per Tipologia'!E5</f>
        <v>6000</v>
      </c>
      <c r="F11" s="14">
        <f>'📈 Per Tipologia'!F5</f>
        <v>6583.05</v>
      </c>
      <c r="G11" s="14">
        <f>'📈 Per Tipologia'!G5</f>
        <v>16779</v>
      </c>
      <c r="H11" s="15">
        <f>'📈 Per Tipologia'!I5</f>
        <v>0.6076613624173074</v>
      </c>
    </row>
    <row r="12" spans="1:8" ht="18.0" customHeight="1" x14ac:dyDescent="0.15">
      <c r="B12" s="16" t="s">
        <v>18</v>
      </c>
      <c r="C12" s="17">
        <f>'📈 Per Tipologia'!C6</f>
        <v>12000</v>
      </c>
      <c r="D12" s="17">
        <f>'📈 Per Tipologia'!D6</f>
        <v>2500</v>
      </c>
      <c r="E12" s="17">
        <f>'📈 Per Tipologia'!E6</f>
        <v>9500</v>
      </c>
      <c r="F12" s="18">
        <f>'📈 Per Tipologia'!F6</f>
        <v>1330.58</v>
      </c>
      <c r="G12" s="18">
        <f>'📈 Per Tipologia'!G6</f>
        <v>3066</v>
      </c>
      <c r="H12" s="19">
        <f>'📈 Per Tipologia'!I6</f>
        <v>0.5660208741030659</v>
      </c>
    </row>
    <row r="13" spans="1:8" ht="18.0" customHeight="1" x14ac:dyDescent="0.15">
      <c r="B13" s="20" t="s">
        <v>19</v>
      </c>
      <c r="C13" s="21">
        <f>'📈 Per Tipologia'!C7</f>
        <v>38000</v>
      </c>
      <c r="D13" s="21">
        <f>'📈 Per Tipologia'!D7</f>
        <v>23280</v>
      </c>
      <c r="E13" s="21">
        <f>'📈 Per Tipologia'!E7</f>
        <v>14720</v>
      </c>
      <c r="F13" s="22">
        <f>'📈 Per Tipologia'!F7</f>
        <v>2976.14</v>
      </c>
      <c r="G13" s="22">
        <f>'📈 Per Tipologia'!G7</f>
        <v>5541.4</v>
      </c>
      <c r="H13" s="23">
        <f>'📈 Per Tipologia'!I7</f>
        <v>0.4629263363049049</v>
      </c>
    </row>
    <row r="14" spans="1:8" ht="18.0" customHeight="1" x14ac:dyDescent="0.15">
      <c r="B14" s="24" t="s">
        <v>20</v>
      </c>
      <c r="C14" s="25">
        <f>'📈 Per Tipologia'!C8</f>
        <v>72000</v>
      </c>
      <c r="D14" s="25">
        <f>'📈 Per Tipologia'!D8</f>
        <v>99000</v>
      </c>
      <c r="E14" s="25">
        <f>'📈 Per Tipologia'!E8</f>
        <v>-27000</v>
      </c>
      <c r="F14" s="26">
        <f>'📈 Per Tipologia'!F8</f>
        <v>6930</v>
      </c>
      <c r="G14" s="26">
        <f>'📈 Per Tipologia'!G8</f>
        <v>6930</v>
      </c>
      <c r="H14" s="27">
        <f>'📈 Per Tipologia'!I8</f>
        <v>0</v>
      </c>
    </row>
    <row r="15" spans="1:8" ht="19.5" customHeight="1" x14ac:dyDescent="0.15">
      <c r="B15" s="28" t="s">
        <v>21</v>
      </c>
      <c r="C15" s="29">
        <f>SUM(C10:C14)</f>
        <v>392000</v>
      </c>
      <c r="D15" s="29">
        <f>SUM(D10:D14)</f>
        <v>341380</v>
      </c>
      <c r="E15" s="29">
        <f>SUM(E10:E14)</f>
        <v>50620</v>
      </c>
      <c r="F15" s="30">
        <f>SUM(F10:F14)</f>
        <v>50806.61</v>
      </c>
      <c r="G15" s="30">
        <f>SUM(G10:G14)</f>
        <v>105720.5</v>
      </c>
      <c r="H15" s="31">
        <f>_xlfn.IFERROR((G15-F15)/G15,0)</f>
        <v>0.5194251824385999</v>
      </c>
    </row>
    <row r="16" spans="1:1" ht="12.0" customHeight="1" x14ac:dyDescent="0.15"/>
    <row r="17" spans="1:8" ht="21.75" customHeight="1" x14ac:dyDescent="0.15">
      <c r="B17" s="140" t="s">
        <v>22</v>
      </c>
      <c r="C17" s="140"/>
      <c r="D17" s="140"/>
      <c r="E17" s="140"/>
      <c r="F17" s="140"/>
      <c r="G17" s="140"/>
      <c r="H17" s="140"/>
    </row>
    <row r="18" spans="1:8" ht="18.0" customHeight="1" x14ac:dyDescent="0.15">
      <c r="B18" s="8" t="s">
        <v>23</v>
      </c>
      <c r="C18" s="141" t="s">
        <v>24</v>
      </c>
      <c r="D18" s="141"/>
      <c r="E18" s="141"/>
      <c r="F18" s="141"/>
      <c r="G18" s="141"/>
      <c r="H18" s="141"/>
    </row>
    <row r="19" spans="1:8" ht="18.0" customHeight="1" x14ac:dyDescent="0.15">
      <c r="B19" s="8" t="s">
        <v>25</v>
      </c>
      <c r="C19" s="141" t="s">
        <v>26</v>
      </c>
      <c r="D19" s="141"/>
      <c r="E19" s="141"/>
      <c r="F19" s="141"/>
      <c r="G19" s="141"/>
      <c r="H19" s="141"/>
    </row>
    <row r="20" spans="1:8" ht="18.0" customHeight="1" x14ac:dyDescent="0.15">
      <c r="B20" s="8" t="s">
        <v>27</v>
      </c>
      <c r="C20" s="141" t="s">
        <v>28</v>
      </c>
      <c r="D20" s="141"/>
      <c r="E20" s="141"/>
      <c r="F20" s="141"/>
      <c r="G20" s="141"/>
      <c r="H20" s="141"/>
    </row>
    <row r="21" spans="1:8" ht="18.0" customHeight="1" x14ac:dyDescent="0.15">
      <c r="B21" s="8" t="s">
        <v>29</v>
      </c>
      <c r="C21" s="141" t="s">
        <v>30</v>
      </c>
      <c r="D21" s="141"/>
      <c r="E21" s="141"/>
      <c r="F21" s="141"/>
      <c r="G21" s="141"/>
      <c r="H21" s="141"/>
    </row>
    <row r="22" spans="1:8" ht="18.0" customHeight="1" x14ac:dyDescent="0.15">
      <c r="B22" s="8" t="s">
        <v>31</v>
      </c>
      <c r="C22" s="141" t="s">
        <v>32</v>
      </c>
      <c r="D22" s="141"/>
      <c r="E22" s="141"/>
      <c r="F22" s="141"/>
      <c r="G22" s="141"/>
      <c r="H22" s="141"/>
    </row>
    <row r="23" spans="1:8" ht="18.0" customHeight="1" x14ac:dyDescent="0.15">
      <c r="B23" s="8" t="s">
        <v>33</v>
      </c>
      <c r="C23" s="141" t="s">
        <v>34</v>
      </c>
      <c r="D23" s="141"/>
      <c r="E23" s="141"/>
      <c r="F23" s="141"/>
      <c r="G23" s="141"/>
      <c r="H23" s="141"/>
    </row>
    <row r="24" spans="1:8" ht="18.0" customHeight="1" x14ac:dyDescent="0.15">
      <c r="B24" s="8" t="s">
        <v>35</v>
      </c>
      <c r="C24" s="141" t="s">
        <v>36</v>
      </c>
      <c r="D24" s="141"/>
      <c r="E24" s="141"/>
      <c r="F24" s="141"/>
      <c r="G24" s="141"/>
      <c r="H24" s="141"/>
    </row>
    <row r="25" spans="1:8" ht="18.0" customHeight="1" x14ac:dyDescent="0.15">
      <c r="B25" s="8" t="s">
        <v>37</v>
      </c>
      <c r="C25" s="141" t="s">
        <v>38</v>
      </c>
      <c r="D25" s="141"/>
      <c r="E25" s="141"/>
      <c r="F25" s="141"/>
      <c r="G25" s="141"/>
      <c r="H25" s="141"/>
    </row>
  </sheetData>
  <mergeCells count="12">
    <mergeCell ref="B2:H2"/>
    <mergeCell ref="B4:H4"/>
    <mergeCell ref="B8:H8"/>
    <mergeCell ref="B17:H17"/>
    <mergeCell ref="C18:H18"/>
    <mergeCell ref="C19:H19"/>
    <mergeCell ref="C20:H20"/>
    <mergeCell ref="C21:H21"/>
    <mergeCell ref="C22:H22"/>
    <mergeCell ref="C23:H23"/>
    <mergeCell ref="C24:H24"/>
    <mergeCell ref="C25:H25"/>
  </mergeCells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217346"/>
    <outlinePr showOutlineSymbols="1"/>
  </sheetPr>
  <dimension ref="A1:K36"/>
  <sheetViews>
    <sheetView zoomScaleNormal="100" topLeftCell="I1" workbookViewId="0">
      <pane ySplit="3" topLeftCell="I4" activePane="bottomLeft" state="frozen"/>
      <selection activeCell="F2" activeCellId="0" sqref="F2"/>
      <selection pane="bottomLeft" activeCell="F2" activeCellId="0" sqref="F2"/>
    </sheetView>
  </sheetViews>
  <sheetFormatPr defaultRowHeight="15.0" defaultColWidth="8.666666666666666" x14ac:dyDescent="0.15"/>
  <cols>
    <col min="1" max="5" width="14.0" customWidth="1" style="1"/>
    <col min="6" max="7" width="15.0" customWidth="1" style="1"/>
    <col min="8" max="9" width="16.0" customWidth="1" style="1"/>
    <col min="10" max="11" width="12.0" customWidth="1" style="1"/>
  </cols>
  <sheetData>
    <row r="1" spans="1:1" ht="7.5" customHeight="1" x14ac:dyDescent="0.15"/>
    <row r="2" spans="1:11" ht="21.75" customHeight="1" x14ac:dyDescent="0.15">
      <c r="A2" s="34" t="s">
        <v>39</v>
      </c>
      <c r="B2" s="34"/>
      <c r="C2" s="35">
        <f>SUM(C5:C36)</f>
        <v>392000</v>
      </c>
      <c r="D2" s="35">
        <f>SUM(D5:D36)</f>
        <v>341380</v>
      </c>
      <c r="E2" s="35">
        <f>SUM(E5:E36)</f>
        <v>50620</v>
      </c>
      <c r="F2" s="36">
        <f>SUM(F5:F36)</f>
        <v>8.334318999999999</v>
      </c>
      <c r="G2" s="34"/>
      <c r="H2" s="36">
        <f>SUM(H5:H36)</f>
        <v>105720.5</v>
      </c>
      <c r="I2" s="36">
        <f>SUM(I5:I36)</f>
        <v>54913.88599999999</v>
      </c>
      <c r="J2" s="37">
        <f>_xlfn.IFERROR(I2/H2,0)</f>
        <v>0.519425144602986</v>
      </c>
      <c r="K2" s="34"/>
    </row>
    <row r="3" spans="1:11" ht="21.75" customHeight="1" x14ac:dyDescent="0.15">
      <c r="A3" s="7" t="s">
        <v>40</v>
      </c>
      <c r="B3" s="7" t="s">
        <v>41</v>
      </c>
      <c r="C3" s="7" t="s">
        <v>42</v>
      </c>
      <c r="D3" s="7" t="s">
        <v>43</v>
      </c>
      <c r="E3" s="7" t="s">
        <v>12</v>
      </c>
      <c r="F3" s="7" t="s">
        <v>44</v>
      </c>
      <c r="G3" s="7" t="s">
        <v>45</v>
      </c>
      <c r="H3" s="7" t="s">
        <v>46</v>
      </c>
      <c r="I3" s="7" t="s">
        <v>47</v>
      </c>
      <c r="J3" s="7" t="s">
        <v>15</v>
      </c>
      <c r="K3" s="7" t="s">
        <v>48</v>
      </c>
    </row>
    <row r="4" spans="1:1" ht="7.5" customHeight="1" x14ac:dyDescent="0.15"/>
    <row r="5" spans="1:11" ht="16.5" customHeight="1" x14ac:dyDescent="0.15">
      <c r="A5" s="38" t="s">
        <v>49</v>
      </c>
      <c r="B5" s="38" t="s">
        <v>16</v>
      </c>
      <c r="C5" s="9">
        <v>1000.0</v>
      </c>
      <c r="D5" s="9">
        <v>1000.0</v>
      </c>
      <c r="E5" s="9">
        <f>C5-D5</f>
        <v>0</v>
      </c>
      <c r="F5" s="39">
        <v>0.007308</v>
      </c>
      <c r="G5" s="39">
        <v>0.03</v>
      </c>
      <c r="H5" s="10">
        <f>D5*G5</f>
        <v>30</v>
      </c>
      <c r="I5" s="10">
        <f>H5-D5*F5</f>
        <v>22.692</v>
      </c>
      <c r="J5" s="11">
        <f>_xlfn.IFERROR(I5/H5,0)</f>
        <v>0.7564</v>
      </c>
      <c r="K5" s="11">
        <f>_xlfn.IFERROR(F5/G5,0)</f>
        <v>0.2436</v>
      </c>
    </row>
    <row r="6" spans="1:11" ht="16.5" customHeight="1" x14ac:dyDescent="0.15">
      <c r="A6" s="38" t="s">
        <v>50</v>
      </c>
      <c r="B6" s="38" t="s">
        <v>16</v>
      </c>
      <c r="C6" s="9">
        <v>4000.0</v>
      </c>
      <c r="D6" s="9">
        <v>2000.0</v>
      </c>
      <c r="E6" s="9">
        <f>C6-D6</f>
        <v>2000</v>
      </c>
      <c r="F6" s="39">
        <v>0.16846</v>
      </c>
      <c r="G6" s="39">
        <v>0.365</v>
      </c>
      <c r="H6" s="10">
        <f>D6*G6</f>
        <v>730</v>
      </c>
      <c r="I6" s="10">
        <f>H6-D6*F6</f>
        <v>393.08</v>
      </c>
      <c r="J6" s="11">
        <f>_xlfn.IFERROR(I6/H6,0)</f>
        <v>0.5384657534246575</v>
      </c>
      <c r="K6" s="11">
        <f>_xlfn.IFERROR(F6/G6,0)</f>
        <v>0.4615342465753425</v>
      </c>
    </row>
    <row r="7" spans="1:11" ht="16.5" customHeight="1" x14ac:dyDescent="0.15">
      <c r="A7" s="38" t="s">
        <v>51</v>
      </c>
      <c r="B7" s="38" t="s">
        <v>16</v>
      </c>
      <c r="C7" s="9">
        <v>24000.0</v>
      </c>
      <c r="D7" s="9">
        <v>15000.0</v>
      </c>
      <c r="E7" s="9">
        <f>C7-D7</f>
        <v>9000</v>
      </c>
      <c r="F7" s="39">
        <v>0.17256</v>
      </c>
      <c r="G7" s="39">
        <v>0.365</v>
      </c>
      <c r="H7" s="10">
        <f>D7*G7</f>
        <v>5475</v>
      </c>
      <c r="I7" s="10">
        <f>H7-D7*F7</f>
        <v>2886.6</v>
      </c>
      <c r="J7" s="11">
        <f>_xlfn.IFERROR(I7/H7,0)</f>
        <v>0.5272328767123288</v>
      </c>
      <c r="K7" s="11">
        <f>_xlfn.IFERROR(F7/G7,0)</f>
        <v>0.47276712328767123</v>
      </c>
    </row>
    <row r="8" spans="1:11" ht="16.5" customHeight="1" x14ac:dyDescent="0.15">
      <c r="A8" s="38" t="s">
        <v>52</v>
      </c>
      <c r="B8" s="38" t="s">
        <v>16</v>
      </c>
      <c r="C8" s="9">
        <v>30000.0</v>
      </c>
      <c r="D8" s="9">
        <v>25200.0</v>
      </c>
      <c r="E8" s="9">
        <f>C8-D8</f>
        <v>4800</v>
      </c>
      <c r="F8" s="39">
        <v>0.10528</v>
      </c>
      <c r="G8" s="39">
        <v>0.205</v>
      </c>
      <c r="H8" s="10">
        <f>D8*G8</f>
        <v>5166</v>
      </c>
      <c r="I8" s="10">
        <f>H8-D8*F8</f>
        <v>2512.944</v>
      </c>
      <c r="J8" s="11">
        <f>_xlfn.IFERROR(I8/H8,0)</f>
        <v>0.4864390243902439</v>
      </c>
      <c r="K8" s="11">
        <f>_xlfn.IFERROR(F8/G8,0)</f>
        <v>0.5135609756097561</v>
      </c>
    </row>
    <row r="9" spans="1:11" ht="16.5" customHeight="1" x14ac:dyDescent="0.15">
      <c r="A9" s="38" t="s">
        <v>53</v>
      </c>
      <c r="B9" s="38" t="s">
        <v>16</v>
      </c>
      <c r="C9" s="9">
        <v>55000.0</v>
      </c>
      <c r="D9" s="9">
        <v>46000.0</v>
      </c>
      <c r="E9" s="9">
        <f>C9-D9</f>
        <v>9000</v>
      </c>
      <c r="F9" s="39">
        <v>0.122962</v>
      </c>
      <c r="G9" s="39">
        <v>0.307</v>
      </c>
      <c r="H9" s="10">
        <f>D9*G9</f>
        <v>14122</v>
      </c>
      <c r="I9" s="10">
        <f>H9-D9*F9</f>
        <v>8465.748</v>
      </c>
      <c r="J9" s="11">
        <f>_xlfn.IFERROR(I9/H9,0)</f>
        <v>0.599472312703583</v>
      </c>
      <c r="K9" s="11">
        <f>_xlfn.IFERROR(F9/G9,0)</f>
        <v>0.40052768729641697</v>
      </c>
    </row>
    <row r="10" spans="1:11" ht="16.5" customHeight="1" x14ac:dyDescent="0.15">
      <c r="A10" s="38" t="s">
        <v>54</v>
      </c>
      <c r="B10" s="38" t="s">
        <v>16</v>
      </c>
      <c r="C10" s="9">
        <v>18000.0</v>
      </c>
      <c r="D10" s="9">
        <v>15900.0</v>
      </c>
      <c r="E10" s="9">
        <f>C10-D10</f>
        <v>2100</v>
      </c>
      <c r="F10" s="39">
        <v>0.361915</v>
      </c>
      <c r="G10" s="39">
        <v>0.774</v>
      </c>
      <c r="H10" s="10">
        <f>D10*G10</f>
        <v>12306.6</v>
      </c>
      <c r="I10" s="10">
        <f>H10-D10*F10</f>
        <v>6552.151500000001</v>
      </c>
      <c r="J10" s="11">
        <f>_xlfn.IFERROR(I10/H10,0)</f>
        <v>0.5324095607235143</v>
      </c>
      <c r="K10" s="11">
        <f>_xlfn.IFERROR(F10/G10,0)</f>
        <v>0.46759043927648575</v>
      </c>
    </row>
    <row r="11" spans="1:11" ht="16.5" customHeight="1" x14ac:dyDescent="0.15">
      <c r="A11" s="38" t="s">
        <v>55</v>
      </c>
      <c r="B11" s="38" t="s">
        <v>16</v>
      </c>
      <c r="C11" s="9">
        <v>33000.0</v>
      </c>
      <c r="D11" s="9">
        <v>27600.0</v>
      </c>
      <c r="E11" s="9">
        <f>C11-D11</f>
        <v>5400</v>
      </c>
      <c r="F11" s="39">
        <v>0.250207</v>
      </c>
      <c r="G11" s="39">
        <v>0.595</v>
      </c>
      <c r="H11" s="10">
        <f>D11*G11</f>
        <v>16422</v>
      </c>
      <c r="I11" s="10">
        <f>H11-D11*F11</f>
        <v>9516.2868</v>
      </c>
      <c r="J11" s="11">
        <f>_xlfn.IFERROR(I11/H11,0)</f>
        <v>0.5794840336134454</v>
      </c>
      <c r="K11" s="11">
        <f>_xlfn.IFERROR(F11/G11,0)</f>
        <v>0.42051596638655464</v>
      </c>
    </row>
    <row r="12" spans="1:11" ht="16.5" customHeight="1" x14ac:dyDescent="0.15">
      <c r="A12" s="38" t="s">
        <v>56</v>
      </c>
      <c r="B12" s="38" t="s">
        <v>16</v>
      </c>
      <c r="C12" s="9">
        <v>3000.0</v>
      </c>
      <c r="D12" s="9">
        <v>900.0</v>
      </c>
      <c r="E12" s="9">
        <f>C12-D12</f>
        <v>2100</v>
      </c>
      <c r="F12" s="39">
        <v>0.294137</v>
      </c>
      <c r="G12" s="39">
        <v>0.63</v>
      </c>
      <c r="H12" s="10">
        <f>D12*G12</f>
        <v>567</v>
      </c>
      <c r="I12" s="10">
        <f>H12-D12*F12</f>
        <v>302.2767</v>
      </c>
      <c r="J12" s="11">
        <f>_xlfn.IFERROR(I12/H12,0)</f>
        <v>0.533115873015873</v>
      </c>
      <c r="K12" s="11">
        <f>_xlfn.IFERROR(F12/G12,0)</f>
        <v>0.46688412698412696</v>
      </c>
    </row>
    <row r="13" spans="1:11" ht="16.5" customHeight="1" x14ac:dyDescent="0.15">
      <c r="A13" s="38" t="s">
        <v>57</v>
      </c>
      <c r="B13" s="38" t="s">
        <v>16</v>
      </c>
      <c r="C13" s="9">
        <v>29000.0</v>
      </c>
      <c r="D13" s="9">
        <v>23700.0</v>
      </c>
      <c r="E13" s="9">
        <f>C13-D13</f>
        <v>5300</v>
      </c>
      <c r="F13" s="39">
        <v>0.260287</v>
      </c>
      <c r="G13" s="39">
        <v>0.515</v>
      </c>
      <c r="H13" s="10">
        <f>D13*G13</f>
        <v>12205.5</v>
      </c>
      <c r="I13" s="10">
        <f>H13-D13*F13</f>
        <v>6036.6981000000005</v>
      </c>
      <c r="J13" s="11">
        <f>_xlfn.IFERROR(I13/H13,0)</f>
        <v>0.49458834951456315</v>
      </c>
      <c r="K13" s="11">
        <f>_xlfn.IFERROR(F13/G13,0)</f>
        <v>0.5054116504854369</v>
      </c>
    </row>
    <row r="14" spans="1:11" ht="16.5" customHeight="1" x14ac:dyDescent="0.15">
      <c r="A14" s="38" t="s">
        <v>58</v>
      </c>
      <c r="B14" s="38" t="s">
        <v>16</v>
      </c>
      <c r="C14" s="9">
        <v>0.0</v>
      </c>
      <c r="D14" s="9">
        <v>0.0</v>
      </c>
      <c r="E14" s="9">
        <f>C14-D14</f>
        <v>0</v>
      </c>
      <c r="F14" s="39">
        <v>0.02</v>
      </c>
      <c r="G14" s="39">
        <v>0.05</v>
      </c>
      <c r="H14" s="10">
        <f>D14*G14</f>
        <v>0</v>
      </c>
      <c r="I14" s="10">
        <f>H14-D14*F14</f>
        <v>0</v>
      </c>
      <c r="J14" s="11">
        <f>_xlfn.IFERROR(I14/H14,0)</f>
        <v>0</v>
      </c>
      <c r="K14" s="11">
        <f>_xlfn.IFERROR(F14/G14,0)</f>
        <v>0.39999999999999997</v>
      </c>
    </row>
    <row r="15" spans="1:11" ht="16.5" customHeight="1" x14ac:dyDescent="0.15">
      <c r="A15" s="38" t="s">
        <v>59</v>
      </c>
      <c r="B15" s="38" t="s">
        <v>16</v>
      </c>
      <c r="C15" s="9">
        <v>2000.0</v>
      </c>
      <c r="D15" s="9">
        <v>1000.0</v>
      </c>
      <c r="E15" s="9">
        <f>C15-D15</f>
        <v>1000</v>
      </c>
      <c r="F15" s="39">
        <v>0.20622</v>
      </c>
      <c r="G15" s="39">
        <v>0.481</v>
      </c>
      <c r="H15" s="10">
        <f>D15*G15</f>
        <v>481</v>
      </c>
      <c r="I15" s="10">
        <f>H15-D15*F15</f>
        <v>274.78</v>
      </c>
      <c r="J15" s="11">
        <f>_xlfn.IFERROR(I15/H15,0)</f>
        <v>0.5712681912681912</v>
      </c>
      <c r="K15" s="11">
        <f>_xlfn.IFERROR(F15/G15,0)</f>
        <v>0.4287318087318087</v>
      </c>
    </row>
    <row r="16" spans="1:11" ht="16.5" customHeight="1" x14ac:dyDescent="0.15">
      <c r="A16" s="38" t="s">
        <v>60</v>
      </c>
      <c r="B16" s="38" t="s">
        <v>16</v>
      </c>
      <c r="C16" s="9">
        <v>3000.0</v>
      </c>
      <c r="D16" s="9">
        <v>2000.0</v>
      </c>
      <c r="E16" s="9">
        <f>C16-D16</f>
        <v>1000</v>
      </c>
      <c r="F16" s="39">
        <v>0.012291</v>
      </c>
      <c r="G16" s="39">
        <v>0.055</v>
      </c>
      <c r="H16" s="10">
        <f>D16*G16</f>
        <v>110</v>
      </c>
      <c r="I16" s="10">
        <f>H16-D16*F16</f>
        <v>85.418</v>
      </c>
      <c r="J16" s="11">
        <f>_xlfn.IFERROR(I16/H16,0)</f>
        <v>0.7765272727272727</v>
      </c>
      <c r="K16" s="11">
        <f>_xlfn.IFERROR(F16/G16,0)</f>
        <v>0.22347272727272727</v>
      </c>
    </row>
    <row r="17" spans="1:11" ht="16.5" customHeight="1" x14ac:dyDescent="0.15">
      <c r="A17" s="38" t="s">
        <v>61</v>
      </c>
      <c r="B17" s="38" t="s">
        <v>16</v>
      </c>
      <c r="C17" s="9">
        <v>2000.0</v>
      </c>
      <c r="D17" s="9">
        <v>2000.0</v>
      </c>
      <c r="E17" s="9">
        <f>C17-D17</f>
        <v>0</v>
      </c>
      <c r="F17" s="39">
        <v>0.260596</v>
      </c>
      <c r="G17" s="39">
        <v>0.595</v>
      </c>
      <c r="H17" s="10">
        <f>D17*G17</f>
        <v>1190</v>
      </c>
      <c r="I17" s="10">
        <f>H17-D17*F17</f>
        <v>668.808</v>
      </c>
      <c r="J17" s="11">
        <f>_xlfn.IFERROR(I17/H17,0)</f>
        <v>0.5620235294117647</v>
      </c>
      <c r="K17" s="11">
        <f>_xlfn.IFERROR(F17/G17,0)</f>
        <v>0.4379764705882353</v>
      </c>
    </row>
    <row r="18" spans="1:11" ht="16.5" customHeight="1" x14ac:dyDescent="0.15">
      <c r="A18" s="38" t="s">
        <v>62</v>
      </c>
      <c r="B18" s="38" t="s">
        <v>16</v>
      </c>
      <c r="C18" s="9">
        <v>13000.0</v>
      </c>
      <c r="D18" s="9">
        <v>7300.0</v>
      </c>
      <c r="E18" s="9">
        <f>C18-D18</f>
        <v>5700</v>
      </c>
      <c r="F18" s="39">
        <v>0.260167</v>
      </c>
      <c r="G18" s="39">
        <v>0.63</v>
      </c>
      <c r="H18" s="10">
        <f>D18*G18</f>
        <v>4599</v>
      </c>
      <c r="I18" s="10">
        <f>H18-D18*F18</f>
        <v>2699.7809</v>
      </c>
      <c r="J18" s="11">
        <f>_xlfn.IFERROR(I18/H18,0)</f>
        <v>0.587036507936508</v>
      </c>
      <c r="K18" s="11">
        <f>_xlfn.IFERROR(F18/G18,0)</f>
        <v>0.41296349206349203</v>
      </c>
    </row>
    <row r="19" spans="1:11" ht="16.5" customHeight="1" x14ac:dyDescent="0.15">
      <c r="A19" s="38" t="s">
        <v>63</v>
      </c>
      <c r="B19" s="38" t="s">
        <v>16</v>
      </c>
      <c r="C19" s="9">
        <v>0.0</v>
      </c>
      <c r="D19" s="9">
        <v>0.0</v>
      </c>
      <c r="E19" s="9">
        <f>C19-D19</f>
        <v>0</v>
      </c>
      <c r="F19" s="39">
        <v>0.02</v>
      </c>
      <c r="G19" s="39">
        <v>0.06</v>
      </c>
      <c r="H19" s="10">
        <f>D19*G19</f>
        <v>0</v>
      </c>
      <c r="I19" s="10">
        <f>H19-D19*F19</f>
        <v>0</v>
      </c>
      <c r="J19" s="11">
        <f>_xlfn.IFERROR(I19/H19,0)</f>
        <v>0</v>
      </c>
      <c r="K19" s="11">
        <f>_xlfn.IFERROR(F19/G19,0)</f>
        <v>0.33333333333333337</v>
      </c>
    </row>
    <row r="20" spans="1:11" ht="16.5" customHeight="1" x14ac:dyDescent="0.15">
      <c r="A20" s="38" t="s">
        <v>64</v>
      </c>
      <c r="B20" s="38" t="s">
        <v>16</v>
      </c>
      <c r="C20" s="9">
        <v>0.0</v>
      </c>
      <c r="D20" s="9">
        <v>0.0</v>
      </c>
      <c r="E20" s="9">
        <f>C20-D20</f>
        <v>0</v>
      </c>
      <c r="F20" s="39">
        <v>0.02</v>
      </c>
      <c r="G20" s="39">
        <v>0.06</v>
      </c>
      <c r="H20" s="10">
        <f>D20*G20</f>
        <v>0</v>
      </c>
      <c r="I20" s="10">
        <f>H20-D20*F20</f>
        <v>0</v>
      </c>
      <c r="J20" s="11">
        <f>_xlfn.IFERROR(I20/H20,0)</f>
        <v>0</v>
      </c>
      <c r="K20" s="11">
        <f>_xlfn.IFERROR(F20/G20,0)</f>
        <v>0.33333333333333337</v>
      </c>
    </row>
    <row r="21" spans="1:11" ht="16.5" customHeight="1" x14ac:dyDescent="0.15">
      <c r="A21" s="40" t="s">
        <v>65</v>
      </c>
      <c r="B21" s="40" t="s">
        <v>17</v>
      </c>
      <c r="C21" s="13">
        <v>53000.0</v>
      </c>
      <c r="D21" s="13">
        <v>47000.0</v>
      </c>
      <c r="E21" s="13">
        <f>C21-D21</f>
        <v>6000</v>
      </c>
      <c r="F21" s="41">
        <v>0.140065</v>
      </c>
      <c r="G21" s="41">
        <v>0.357</v>
      </c>
      <c r="H21" s="14">
        <f>D21*G21</f>
        <v>16779</v>
      </c>
      <c r="I21" s="14">
        <f>H21-D21*F21</f>
        <v>10195.945</v>
      </c>
      <c r="J21" s="15">
        <f>_xlfn.IFERROR(I21/H21,0)</f>
        <v>0.6076610644257703</v>
      </c>
      <c r="K21" s="15">
        <f>_xlfn.IFERROR(F21/G21,0)</f>
        <v>0.3923389355742297</v>
      </c>
    </row>
    <row r="22" spans="1:11" ht="16.5" customHeight="1" x14ac:dyDescent="0.15">
      <c r="A22" s="42" t="s">
        <v>66</v>
      </c>
      <c r="B22" s="42" t="s">
        <v>18</v>
      </c>
      <c r="C22" s="17">
        <v>2000.0</v>
      </c>
      <c r="D22" s="17">
        <v>1500.0</v>
      </c>
      <c r="E22" s="17">
        <f>C22-D22</f>
        <v>500</v>
      </c>
      <c r="F22" s="43">
        <v>0.568395</v>
      </c>
      <c r="G22" s="43">
        <v>1.31</v>
      </c>
      <c r="H22" s="18">
        <f>D22*G22</f>
        <v>1965</v>
      </c>
      <c r="I22" s="18">
        <f>H22-D22*F22</f>
        <v>1112.4075</v>
      </c>
      <c r="J22" s="19">
        <f>_xlfn.IFERROR(I22/H22,0)</f>
        <v>0.5661106870229008</v>
      </c>
      <c r="K22" s="19">
        <f>_xlfn.IFERROR(F22/G22,0)</f>
        <v>0.4338893129770992</v>
      </c>
    </row>
    <row r="23" spans="1:11" ht="16.5" customHeight="1" x14ac:dyDescent="0.15">
      <c r="A23" s="42" t="s">
        <v>67</v>
      </c>
      <c r="B23" s="42" t="s">
        <v>18</v>
      </c>
      <c r="C23" s="17">
        <v>1000.0</v>
      </c>
      <c r="D23" s="17">
        <v>0.0</v>
      </c>
      <c r="E23" s="17">
        <f>C23-D23</f>
        <v>1000</v>
      </c>
      <c r="F23" s="43">
        <v>0.554073</v>
      </c>
      <c r="G23" s="43">
        <v>1.16</v>
      </c>
      <c r="H23" s="18">
        <f>D23*G23</f>
        <v>0</v>
      </c>
      <c r="I23" s="18">
        <f>H23-D23*F23</f>
        <v>0</v>
      </c>
      <c r="J23" s="19">
        <f>_xlfn.IFERROR(I23/H23,0)</f>
        <v>0</v>
      </c>
      <c r="K23" s="19">
        <f>_xlfn.IFERROR(F23/G23,0)</f>
        <v>0.47764913793103453</v>
      </c>
    </row>
    <row r="24" spans="1:11" ht="16.5" customHeight="1" x14ac:dyDescent="0.15">
      <c r="A24" s="42" t="s">
        <v>68</v>
      </c>
      <c r="B24" s="42" t="s">
        <v>18</v>
      </c>
      <c r="C24" s="17">
        <v>0.0</v>
      </c>
      <c r="D24" s="17">
        <v>500.0</v>
      </c>
      <c r="E24" s="17">
        <f>C24-D24</f>
        <v>-500</v>
      </c>
      <c r="F24" s="43">
        <v>0.401904</v>
      </c>
      <c r="G24" s="43">
        <v>0.95</v>
      </c>
      <c r="H24" s="18">
        <f>D24*G24</f>
        <v>475</v>
      </c>
      <c r="I24" s="18">
        <f>H24-D24*F24</f>
        <v>274.048</v>
      </c>
      <c r="J24" s="19">
        <f>_xlfn.IFERROR(I24/H24,0)</f>
        <v>0.5769431578947368</v>
      </c>
      <c r="K24" s="19">
        <f>_xlfn.IFERROR(F24/G24,0)</f>
        <v>0.4230568421052632</v>
      </c>
    </row>
    <row r="25" spans="1:11" ht="16.5" customHeight="1" x14ac:dyDescent="0.15">
      <c r="A25" s="42" t="s">
        <v>69</v>
      </c>
      <c r="B25" s="42" t="s">
        <v>18</v>
      </c>
      <c r="C25" s="17">
        <v>2000.0</v>
      </c>
      <c r="D25" s="17">
        <v>500.0</v>
      </c>
      <c r="E25" s="17">
        <f>C25-D25</f>
        <v>1500</v>
      </c>
      <c r="F25" s="43">
        <v>0.554073</v>
      </c>
      <c r="G25" s="43">
        <v>1.252</v>
      </c>
      <c r="H25" s="18">
        <f>D25*G25</f>
        <v>626</v>
      </c>
      <c r="I25" s="18">
        <f>H25-D25*F25</f>
        <v>348.96349999999995</v>
      </c>
      <c r="J25" s="19">
        <f>_xlfn.IFERROR(I25/H25,0)</f>
        <v>0.557449680511182</v>
      </c>
      <c r="K25" s="19">
        <f>_xlfn.IFERROR(F25/G25,0)</f>
        <v>0.4425503194888179</v>
      </c>
    </row>
    <row r="26" spans="1:11" ht="16.5" customHeight="1" x14ac:dyDescent="0.15">
      <c r="A26" s="42" t="s">
        <v>70</v>
      </c>
      <c r="B26" s="42" t="s">
        <v>18</v>
      </c>
      <c r="C26" s="17">
        <v>5000.0</v>
      </c>
      <c r="D26" s="17">
        <v>0.0</v>
      </c>
      <c r="E26" s="17">
        <f>C26-D26</f>
        <v>5000</v>
      </c>
      <c r="F26" s="43">
        <v>0.408413</v>
      </c>
      <c r="G26" s="43">
        <v>1.202</v>
      </c>
      <c r="H26" s="18">
        <f>D26*G26</f>
        <v>0</v>
      </c>
      <c r="I26" s="18">
        <f>H26-D26*F26</f>
        <v>0</v>
      </c>
      <c r="J26" s="19">
        <f>_xlfn.IFERROR(I26/H26,0)</f>
        <v>0</v>
      </c>
      <c r="K26" s="19">
        <f>_xlfn.IFERROR(F26/G26,0)</f>
        <v>0.3397778702163062</v>
      </c>
    </row>
    <row r="27" spans="1:11" ht="16.5" customHeight="1" x14ac:dyDescent="0.15">
      <c r="A27" s="42" t="s">
        <v>71</v>
      </c>
      <c r="B27" s="42" t="s">
        <v>18</v>
      </c>
      <c r="C27" s="17">
        <v>2000.0</v>
      </c>
      <c r="D27" s="17">
        <v>0.0</v>
      </c>
      <c r="E27" s="17">
        <f>C27-D27</f>
        <v>2000</v>
      </c>
      <c r="F27" s="43">
        <v>0.573169</v>
      </c>
      <c r="G27" s="43">
        <v>1.312</v>
      </c>
      <c r="H27" s="18">
        <f>D27*G27</f>
        <v>0</v>
      </c>
      <c r="I27" s="18">
        <f>H27-D27*F27</f>
        <v>0</v>
      </c>
      <c r="J27" s="19">
        <f>_xlfn.IFERROR(I27/H27,0)</f>
        <v>0</v>
      </c>
      <c r="K27" s="19">
        <f>_xlfn.IFERROR(F27/G27,0)</f>
        <v>0.43686661585365855</v>
      </c>
    </row>
    <row r="28" spans="1:11" ht="16.5" customHeight="1" x14ac:dyDescent="0.15">
      <c r="A28" s="42" t="s">
        <v>72</v>
      </c>
      <c r="B28" s="42" t="s">
        <v>18</v>
      </c>
      <c r="C28" s="17">
        <v>0.0</v>
      </c>
      <c r="D28" s="17">
        <v>0.0</v>
      </c>
      <c r="E28" s="17">
        <f>C28-D28</f>
        <v>0</v>
      </c>
      <c r="F28" s="43">
        <v>0.428147</v>
      </c>
      <c r="G28" s="43">
        <v>0.92</v>
      </c>
      <c r="H28" s="18">
        <f>D28*G28</f>
        <v>0</v>
      </c>
      <c r="I28" s="18">
        <f>H28-D28*F28</f>
        <v>0</v>
      </c>
      <c r="J28" s="19">
        <f>_xlfn.IFERROR(I28/H28,0)</f>
        <v>0</v>
      </c>
      <c r="K28" s="19">
        <f>_xlfn.IFERROR(F28/G28,0)</f>
        <v>0.46537717391304345</v>
      </c>
    </row>
    <row r="29" spans="1:11" ht="16.5" customHeight="1" x14ac:dyDescent="0.15">
      <c r="A29" s="44" t="s">
        <v>73</v>
      </c>
      <c r="B29" s="44" t="s">
        <v>19</v>
      </c>
      <c r="C29" s="21">
        <v>5000.0</v>
      </c>
      <c r="D29" s="21">
        <v>7500.0</v>
      </c>
      <c r="E29" s="21">
        <f>C29-D29</f>
        <v>-2500</v>
      </c>
      <c r="F29" s="45">
        <v>0.14613</v>
      </c>
      <c r="G29" s="45">
        <v>0.129</v>
      </c>
      <c r="H29" s="22">
        <f>D29*G29</f>
        <v>967.5</v>
      </c>
      <c r="I29" s="22">
        <f>H29-D29*F29</f>
        <v>-128.47500000000014</v>
      </c>
      <c r="J29" s="23">
        <f>_xlfn.IFERROR(I29/H29,0)</f>
        <v>-0.13279069767441876</v>
      </c>
      <c r="K29" s="23">
        <f>_xlfn.IFERROR(F29/G29,0)</f>
        <v>1.1327906976744186</v>
      </c>
    </row>
    <row r="30" spans="1:11" ht="16.5" customHeight="1" x14ac:dyDescent="0.15">
      <c r="A30" s="44" t="s">
        <v>74</v>
      </c>
      <c r="B30" s="44" t="s">
        <v>19</v>
      </c>
      <c r="C30" s="21">
        <v>5000.0</v>
      </c>
      <c r="D30" s="21">
        <v>7000.0</v>
      </c>
      <c r="E30" s="21">
        <f>C30-D30</f>
        <v>-2000</v>
      </c>
      <c r="F30" s="45">
        <v>0.01353</v>
      </c>
      <c r="G30" s="45">
        <v>0.035</v>
      </c>
      <c r="H30" s="22">
        <f>D30*G30</f>
        <v>245.00000000000003</v>
      </c>
      <c r="I30" s="22">
        <f>H30-D30*F30</f>
        <v>150.29000000000002</v>
      </c>
      <c r="J30" s="23">
        <f>_xlfn.IFERROR(I30/H30,0)</f>
        <v>0.6134285714285714</v>
      </c>
      <c r="K30" s="23">
        <f>_xlfn.IFERROR(F30/G30,0)</f>
        <v>0.38657142857142857</v>
      </c>
    </row>
    <row r="31" spans="1:11" ht="16.5" customHeight="1" x14ac:dyDescent="0.15">
      <c r="A31" s="44" t="s">
        <v>75</v>
      </c>
      <c r="B31" s="44" t="s">
        <v>19</v>
      </c>
      <c r="C31" s="21">
        <v>9000.0</v>
      </c>
      <c r="D31" s="21">
        <v>3000.0</v>
      </c>
      <c r="E31" s="21">
        <f>C31-D31</f>
        <v>6000</v>
      </c>
      <c r="F31" s="45">
        <v>0.13899</v>
      </c>
      <c r="G31" s="45">
        <v>0.549</v>
      </c>
      <c r="H31" s="22">
        <f>D31*G31</f>
        <v>1647.0000000000002</v>
      </c>
      <c r="I31" s="22">
        <f>H31-D31*F31</f>
        <v>1230.0300000000002</v>
      </c>
      <c r="J31" s="23">
        <f>_xlfn.IFERROR(I31/H31,0)</f>
        <v>0.7468306010928962</v>
      </c>
      <c r="K31" s="23">
        <f>_xlfn.IFERROR(F31/G31,0)</f>
        <v>0.2531693989071038</v>
      </c>
    </row>
    <row r="32" spans="1:11" ht="16.5" customHeight="1" x14ac:dyDescent="0.15">
      <c r="A32" s="44" t="s">
        <v>76</v>
      </c>
      <c r="B32" s="44" t="s">
        <v>19</v>
      </c>
      <c r="C32" s="21">
        <v>9000.0</v>
      </c>
      <c r="D32" s="21">
        <v>2700.0</v>
      </c>
      <c r="E32" s="21">
        <f>C32-D32</f>
        <v>6300</v>
      </c>
      <c r="F32" s="45">
        <v>0.13899</v>
      </c>
      <c r="G32" s="45">
        <v>0.355</v>
      </c>
      <c r="H32" s="22">
        <f>D32*G32</f>
        <v>958.5</v>
      </c>
      <c r="I32" s="22">
        <f>H32-D32*F32</f>
        <v>583.227</v>
      </c>
      <c r="J32" s="23">
        <f>_xlfn.IFERROR(I32/H32,0)</f>
        <v>0.6084788732394366</v>
      </c>
      <c r="K32" s="23">
        <f>_xlfn.IFERROR(F32/G32,0)</f>
        <v>0.3915211267605634</v>
      </c>
    </row>
    <row r="33" spans="1:11" ht="16.5" customHeight="1" x14ac:dyDescent="0.15">
      <c r="A33" s="44" t="s">
        <v>77</v>
      </c>
      <c r="B33" s="44" t="s">
        <v>19</v>
      </c>
      <c r="C33" s="21">
        <v>9000.0</v>
      </c>
      <c r="D33" s="21">
        <v>2080.0</v>
      </c>
      <c r="E33" s="21">
        <f>C33-D33</f>
        <v>6920</v>
      </c>
      <c r="F33" s="45">
        <v>0.10455</v>
      </c>
      <c r="G33" s="45">
        <v>0.355</v>
      </c>
      <c r="H33" s="22">
        <f>D33*G33</f>
        <v>738.4</v>
      </c>
      <c r="I33" s="22">
        <f>H33-D33*F33</f>
        <v>520.9359999999999</v>
      </c>
      <c r="J33" s="23">
        <f>_xlfn.IFERROR(I33/H33,0)</f>
        <v>0.7054929577464788</v>
      </c>
      <c r="K33" s="23">
        <f>_xlfn.IFERROR(F33/G33,0)</f>
        <v>0.29450704225352115</v>
      </c>
    </row>
    <row r="34" spans="1:11" ht="16.5" customHeight="1" x14ac:dyDescent="0.15">
      <c r="A34" s="44" t="s">
        <v>78</v>
      </c>
      <c r="B34" s="44" t="s">
        <v>19</v>
      </c>
      <c r="C34" s="21">
        <v>500.0</v>
      </c>
      <c r="D34" s="21">
        <v>500.0</v>
      </c>
      <c r="E34" s="21">
        <f>C34-D34</f>
        <v>0</v>
      </c>
      <c r="F34" s="45">
        <v>1.44305</v>
      </c>
      <c r="G34" s="45">
        <v>1.6</v>
      </c>
      <c r="H34" s="22">
        <f>D34*G34</f>
        <v>800</v>
      </c>
      <c r="I34" s="22">
        <f>H34-D34*F34</f>
        <v>78.47500000000002</v>
      </c>
      <c r="J34" s="23">
        <f>_xlfn.IFERROR(I34/H34,0)</f>
        <v>0.09809375000000004</v>
      </c>
      <c r="K34" s="23">
        <f>_xlfn.IFERROR(F34/G34,0)</f>
        <v>0.9019062499999999</v>
      </c>
    </row>
    <row r="35" spans="1:11" ht="16.5" customHeight="1" x14ac:dyDescent="0.15">
      <c r="A35" s="44" t="s">
        <v>79</v>
      </c>
      <c r="B35" s="44" t="s">
        <v>19</v>
      </c>
      <c r="C35" s="21">
        <v>500.0</v>
      </c>
      <c r="D35" s="21">
        <v>500.0</v>
      </c>
      <c r="E35" s="21">
        <f>C35-D35</f>
        <v>0</v>
      </c>
      <c r="F35" s="45">
        <v>0.10845</v>
      </c>
      <c r="G35" s="45">
        <v>0.37</v>
      </c>
      <c r="H35" s="22">
        <f>D35*G35</f>
        <v>185</v>
      </c>
      <c r="I35" s="22">
        <f>H35-D35*F35</f>
        <v>130.775</v>
      </c>
      <c r="J35" s="23">
        <f>_xlfn.IFERROR(I35/H35,0)</f>
        <v>0.7068918918918919</v>
      </c>
      <c r="K35" s="23">
        <f>_xlfn.IFERROR(F35/G35,0)</f>
        <v>0.2931081081081081</v>
      </c>
    </row>
    <row r="36" spans="1:11" ht="16.5" customHeight="1" x14ac:dyDescent="0.15">
      <c r="A36" s="46" t="s">
        <v>20</v>
      </c>
      <c r="B36" s="46" t="s">
        <v>20</v>
      </c>
      <c r="C36" s="25">
        <v>72000.0</v>
      </c>
      <c r="D36" s="25">
        <v>99000.0</v>
      </c>
      <c r="E36" s="25">
        <f>C36-D36</f>
        <v>-27000</v>
      </c>
      <c r="F36" s="47">
        <v>0.07</v>
      </c>
      <c r="G36" s="47">
        <v>0.07</v>
      </c>
      <c r="H36" s="26">
        <f>D36*G36</f>
        <v>6930.000000000001</v>
      </c>
      <c r="I36" s="26">
        <f>H36-D36*F36</f>
        <v>0</v>
      </c>
      <c r="J36" s="27">
        <f>_xlfn.IFERROR(I36/H36,0)</f>
        <v>0</v>
      </c>
      <c r="K36" s="27">
        <f>_xlfn.IFERROR(F36/G36,0)</f>
        <v>1</v>
      </c>
    </row>
  </sheetData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2E6DB4"/>
    <outlinePr showOutlineSymbols="1"/>
  </sheetPr>
  <dimension ref="A1:I23"/>
  <sheetViews>
    <sheetView tabSelected="1" zoomScaleNormal="100" topLeftCell="A1" workbookViewId="0">
      <pane ySplit="3" topLeftCell="A4" activePane="bottomLeft" state="frozen"/>
      <selection activeCell="A1" activeCellId="0" sqref="A1"/>
      <selection pane="bottomLeft" activeCell="A1" activeCellId="0" sqref="A1"/>
    </sheetView>
  </sheetViews>
  <sheetFormatPr defaultRowHeight="15.0" defaultColWidth="8.666666666666666" x14ac:dyDescent="0.15"/>
  <cols>
    <col min="1" max="1" width="12.0" customWidth="1" style="1"/>
    <col min="2" max="2" width="14.0" customWidth="1" style="1"/>
    <col min="3" max="3" width="12.0" customWidth="1" style="1"/>
    <col min="4" max="4" width="16.0" customWidth="1" style="1"/>
    <col min="5" max="6" width="14.0" customWidth="1" style="1"/>
    <col min="7" max="7" width="15.0" customWidth="1" style="1"/>
    <col min="8" max="8" width="16.0" customWidth="1" style="1"/>
    <col min="9" max="9" width="20.0" customWidth="1" style="1"/>
  </cols>
  <sheetData>
    <row r="1" spans="1:1" ht="7.5" customHeight="1" x14ac:dyDescent="0.15"/>
    <row r="2" spans="1:9" ht="24.0" customHeight="1" x14ac:dyDescent="0.15">
      <c r="A2" s="189" t="s">
        <v>80</v>
      </c>
      <c r="B2" s="189"/>
      <c r="C2" s="189"/>
      <c r="D2" s="189"/>
      <c r="E2" s="189"/>
      <c r="F2" s="189"/>
      <c r="G2" s="189"/>
      <c r="H2" s="189"/>
      <c r="I2" s="189"/>
    </row>
    <row r="3" spans="1:9" ht="19.5" customHeight="1" x14ac:dyDescent="0.15">
      <c r="A3" s="7" t="s">
        <v>81</v>
      </c>
      <c r="B3" s="7" t="s">
        <v>82</v>
      </c>
      <c r="C3" s="7" t="s">
        <v>83</v>
      </c>
      <c r="D3" s="7" t="s">
        <v>84</v>
      </c>
      <c r="E3" s="7" t="s">
        <v>9</v>
      </c>
      <c r="F3" s="7" t="s">
        <v>85</v>
      </c>
      <c r="G3" s="7" t="s">
        <v>44</v>
      </c>
      <c r="H3" s="7" t="s">
        <v>86</v>
      </c>
      <c r="I3" s="7" t="s">
        <v>87</v>
      </c>
    </row>
    <row r="4" spans="1:9" ht="16.5" customHeight="1" x14ac:dyDescent="0.15">
      <c r="A4" s="49" t="s">
        <v>88</v>
      </c>
      <c r="B4" s="50" t="s">
        <v>89</v>
      </c>
      <c r="C4" s="50" t="s">
        <v>90</v>
      </c>
      <c r="D4" s="50" t="s">
        <v>49</v>
      </c>
      <c r="E4" s="50" t="s">
        <v>16</v>
      </c>
      <c r="F4" s="51">
        <v>1000.0</v>
      </c>
      <c r="G4" s="52">
        <v>0.007308</v>
      </c>
      <c r="H4" s="53">
        <f>F4*G4</f>
        <v>7.308</v>
      </c>
      <c r="I4" s="50"/>
    </row>
    <row r="5" spans="1:9" ht="16.5" customHeight="1" x14ac:dyDescent="0.15">
      <c r="A5" s="49" t="s">
        <v>88</v>
      </c>
      <c r="B5" s="50" t="s">
        <v>89</v>
      </c>
      <c r="C5" s="50" t="s">
        <v>90</v>
      </c>
      <c r="D5" s="50" t="s">
        <v>51</v>
      </c>
      <c r="E5" s="50" t="s">
        <v>16</v>
      </c>
      <c r="F5" s="51">
        <v>1000.0</v>
      </c>
      <c r="G5" s="52">
        <v>0.17256</v>
      </c>
      <c r="H5" s="53">
        <f>F5*G5</f>
        <v>172.56</v>
      </c>
      <c r="I5" s="50"/>
    </row>
    <row r="6" spans="1:9" ht="16.5" customHeight="1" x14ac:dyDescent="0.15">
      <c r="A6" s="49" t="s">
        <v>88</v>
      </c>
      <c r="B6" s="50" t="s">
        <v>91</v>
      </c>
      <c r="C6" s="50" t="s">
        <v>92</v>
      </c>
      <c r="D6" s="50" t="s">
        <v>52</v>
      </c>
      <c r="E6" s="50" t="s">
        <v>16</v>
      </c>
      <c r="F6" s="51">
        <v>1000.0</v>
      </c>
      <c r="G6" s="52">
        <v>0.10528</v>
      </c>
      <c r="H6" s="53">
        <f>F6*G6</f>
        <v>105.28</v>
      </c>
      <c r="I6" s="50"/>
    </row>
    <row r="7" spans="1:9" ht="16.5" customHeight="1" x14ac:dyDescent="0.15">
      <c r="A7" s="49" t="s">
        <v>88</v>
      </c>
      <c r="B7" s="50" t="s">
        <v>91</v>
      </c>
      <c r="C7" s="50" t="s">
        <v>92</v>
      </c>
      <c r="D7" s="50" t="s">
        <v>53</v>
      </c>
      <c r="E7" s="50" t="s">
        <v>16</v>
      </c>
      <c r="F7" s="51">
        <v>8000.0</v>
      </c>
      <c r="G7" s="52">
        <v>0.122962</v>
      </c>
      <c r="H7" s="53">
        <f>F7*G7</f>
        <v>983.696</v>
      </c>
      <c r="I7" s="50"/>
    </row>
    <row r="8" spans="1:9" ht="16.5" customHeight="1" x14ac:dyDescent="0.15">
      <c r="A8" s="49" t="s">
        <v>93</v>
      </c>
      <c r="B8" s="50" t="s">
        <v>94</v>
      </c>
      <c r="C8" s="50" t="s">
        <v>90</v>
      </c>
      <c r="D8" s="50" t="s">
        <v>51</v>
      </c>
      <c r="E8" s="50" t="s">
        <v>16</v>
      </c>
      <c r="F8" s="51">
        <v>4000.0</v>
      </c>
      <c r="G8" s="52">
        <v>0.17256</v>
      </c>
      <c r="H8" s="53">
        <f>F8*G8</f>
        <v>690.24</v>
      </c>
      <c r="I8" s="50"/>
    </row>
    <row r="9" spans="1:9" ht="16.5" customHeight="1" x14ac:dyDescent="0.15">
      <c r="A9" s="49" t="s">
        <v>93</v>
      </c>
      <c r="B9" s="50" t="s">
        <v>94</v>
      </c>
      <c r="C9" s="50" t="s">
        <v>90</v>
      </c>
      <c r="D9" s="50" t="s">
        <v>57</v>
      </c>
      <c r="E9" s="50" t="s">
        <v>16</v>
      </c>
      <c r="F9" s="51">
        <v>5000.0</v>
      </c>
      <c r="G9" s="52">
        <v>0.260287</v>
      </c>
      <c r="H9" s="53">
        <f>F9*G9</f>
        <v>1301.435</v>
      </c>
      <c r="I9" s="50"/>
    </row>
    <row r="10" spans="1:9" ht="16.5" customHeight="1" x14ac:dyDescent="0.15">
      <c r="A10" s="49" t="s">
        <v>95</v>
      </c>
      <c r="B10" s="50" t="s">
        <v>96</v>
      </c>
      <c r="C10" s="50" t="s">
        <v>90</v>
      </c>
      <c r="D10" s="50" t="s">
        <v>54</v>
      </c>
      <c r="E10" s="50" t="s">
        <v>16</v>
      </c>
      <c r="F10" s="51">
        <v>3000.0</v>
      </c>
      <c r="G10" s="52">
        <v>0.361915</v>
      </c>
      <c r="H10" s="53">
        <f>F10*G10</f>
        <v>1085.745</v>
      </c>
      <c r="I10" s="50"/>
    </row>
    <row r="11" spans="1:9" ht="16.5" customHeight="1" x14ac:dyDescent="0.15">
      <c r="A11" s="49" t="s">
        <v>95</v>
      </c>
      <c r="B11" s="50" t="s">
        <v>96</v>
      </c>
      <c r="C11" s="50" t="s">
        <v>90</v>
      </c>
      <c r="D11" s="50" t="s">
        <v>55</v>
      </c>
      <c r="E11" s="50" t="s">
        <v>16</v>
      </c>
      <c r="F11" s="51">
        <v>3000.0</v>
      </c>
      <c r="G11" s="52">
        <v>0.250207</v>
      </c>
      <c r="H11" s="53">
        <f>F11*G11</f>
        <v>750.6210000000001</v>
      </c>
      <c r="I11" s="50"/>
    </row>
    <row r="12" spans="1:9" ht="16.5" customHeight="1" x14ac:dyDescent="0.15">
      <c r="A12" s="49" t="s">
        <v>97</v>
      </c>
      <c r="B12" s="50" t="s">
        <v>98</v>
      </c>
      <c r="C12" s="50" t="s">
        <v>90</v>
      </c>
      <c r="D12" s="50" t="s">
        <v>51</v>
      </c>
      <c r="E12" s="50" t="s">
        <v>16</v>
      </c>
      <c r="F12" s="51">
        <v>4000.0</v>
      </c>
      <c r="G12" s="52">
        <v>0.17256</v>
      </c>
      <c r="H12" s="53">
        <f>F12*G12</f>
        <v>690.24</v>
      </c>
      <c r="I12" s="50"/>
    </row>
    <row r="13" spans="1:9" ht="16.5" customHeight="1" x14ac:dyDescent="0.15">
      <c r="A13" s="54" t="s">
        <v>97</v>
      </c>
      <c r="B13" s="55" t="s">
        <v>98</v>
      </c>
      <c r="C13" s="55" t="s">
        <v>90</v>
      </c>
      <c r="D13" s="55" t="s">
        <v>65</v>
      </c>
      <c r="E13" s="55" t="s">
        <v>17</v>
      </c>
      <c r="F13" s="56">
        <v>1000.0</v>
      </c>
      <c r="G13" s="57">
        <v>0.140065</v>
      </c>
      <c r="H13" s="58">
        <f>F13*G13</f>
        <v>140.065</v>
      </c>
      <c r="I13" s="55"/>
    </row>
    <row r="14" spans="1:9" ht="16.5" customHeight="1" x14ac:dyDescent="0.15">
      <c r="A14" s="49" t="s">
        <v>99</v>
      </c>
      <c r="B14" s="50" t="s">
        <v>100</v>
      </c>
      <c r="C14" s="50" t="s">
        <v>90</v>
      </c>
      <c r="D14" s="50" t="s">
        <v>54</v>
      </c>
      <c r="E14" s="50" t="s">
        <v>16</v>
      </c>
      <c r="F14" s="51">
        <v>3000.0</v>
      </c>
      <c r="G14" s="52">
        <v>0.361915</v>
      </c>
      <c r="H14" s="53">
        <f>F14*G14</f>
        <v>1085.745</v>
      </c>
      <c r="I14" s="50"/>
    </row>
    <row r="15" spans="1:9" ht="16.5" customHeight="1" x14ac:dyDescent="0.15">
      <c r="A15" s="54" t="s">
        <v>99</v>
      </c>
      <c r="B15" s="55" t="s">
        <v>100</v>
      </c>
      <c r="C15" s="55" t="s">
        <v>90</v>
      </c>
      <c r="D15" s="55" t="s">
        <v>65</v>
      </c>
      <c r="E15" s="55" t="s">
        <v>17</v>
      </c>
      <c r="F15" s="56">
        <v>2000.0</v>
      </c>
      <c r="G15" s="57">
        <v>0.140065</v>
      </c>
      <c r="H15" s="58">
        <f>F15*G15</f>
        <v>280.13</v>
      </c>
      <c r="I15" s="55"/>
    </row>
    <row r="16" spans="1:9" ht="16.5" customHeight="1" x14ac:dyDescent="0.15">
      <c r="A16" s="59" t="s">
        <v>101</v>
      </c>
      <c r="B16" s="60" t="s">
        <v>102</v>
      </c>
      <c r="C16" s="60" t="s">
        <v>90</v>
      </c>
      <c r="D16" s="60" t="s">
        <v>66</v>
      </c>
      <c r="E16" s="60" t="s">
        <v>18</v>
      </c>
      <c r="F16" s="61">
        <v>1000.0</v>
      </c>
      <c r="G16" s="62">
        <v>0.568395</v>
      </c>
      <c r="H16" s="63">
        <f>F16*G16</f>
        <v>568.395</v>
      </c>
      <c r="I16" s="60"/>
    </row>
    <row r="17" spans="1:9" ht="16.5" customHeight="1" x14ac:dyDescent="0.15">
      <c r="A17" s="49" t="s">
        <v>103</v>
      </c>
      <c r="B17" s="50" t="s">
        <v>104</v>
      </c>
      <c r="C17" s="50" t="s">
        <v>90</v>
      </c>
      <c r="D17" s="50" t="s">
        <v>49</v>
      </c>
      <c r="E17" s="50" t="s">
        <v>16</v>
      </c>
      <c r="F17" s="51">
        <v>10000.0</v>
      </c>
      <c r="G17" s="52">
        <v>0.007308</v>
      </c>
      <c r="H17" s="53">
        <f>F17*G17</f>
        <v>73.08</v>
      </c>
      <c r="I17" s="50"/>
    </row>
    <row r="18" spans="1:9" ht="16.5" customHeight="1" x14ac:dyDescent="0.15">
      <c r="A18" s="64" t="s">
        <v>105</v>
      </c>
      <c r="B18" s="65" t="s">
        <v>106</v>
      </c>
      <c r="C18" s="65" t="s">
        <v>107</v>
      </c>
      <c r="D18" s="65" t="s">
        <v>73</v>
      </c>
      <c r="E18" s="65" t="s">
        <v>19</v>
      </c>
      <c r="F18" s="66">
        <v>5000.0</v>
      </c>
      <c r="G18" s="67">
        <v>0.14613</v>
      </c>
      <c r="H18" s="68">
        <f>F18*G18</f>
        <v>730.6500000000001</v>
      </c>
      <c r="I18" s="65"/>
    </row>
    <row r="19" spans="1:9" ht="16.5" customHeight="1" x14ac:dyDescent="0.15">
      <c r="A19" s="64" t="s">
        <v>108</v>
      </c>
      <c r="B19" s="65" t="s">
        <v>109</v>
      </c>
      <c r="C19" s="65" t="s">
        <v>107</v>
      </c>
      <c r="D19" s="65" t="s">
        <v>74</v>
      </c>
      <c r="E19" s="65" t="s">
        <v>19</v>
      </c>
      <c r="F19" s="66">
        <v>5000.0</v>
      </c>
      <c r="G19" s="67">
        <v>0.01353</v>
      </c>
      <c r="H19" s="68">
        <f>F19*G19</f>
        <v>67.65</v>
      </c>
      <c r="I19" s="65"/>
    </row>
    <row r="20" spans="1:9" ht="16.5" customHeight="1" x14ac:dyDescent="0.15">
      <c r="A20" s="64" t="s">
        <v>110</v>
      </c>
      <c r="B20" s="65" t="s">
        <v>111</v>
      </c>
      <c r="C20" s="65" t="s">
        <v>107</v>
      </c>
      <c r="D20" s="65" t="s">
        <v>75</v>
      </c>
      <c r="E20" s="65" t="s">
        <v>19</v>
      </c>
      <c r="F20" s="66">
        <v>3000.0</v>
      </c>
      <c r="G20" s="67">
        <v>0.13899</v>
      </c>
      <c r="H20" s="68">
        <f>F20*G20</f>
        <v>416.97</v>
      </c>
      <c r="I20" s="65"/>
    </row>
    <row r="21" spans="1:9" ht="16.5" customHeight="1" x14ac:dyDescent="0.15">
      <c r="A21" s="49" t="s">
        <v>112</v>
      </c>
      <c r="B21" s="50" t="s">
        <v>113</v>
      </c>
      <c r="C21" s="50" t="s">
        <v>90</v>
      </c>
      <c r="D21" s="50" t="s">
        <v>49</v>
      </c>
      <c r="E21" s="50" t="s">
        <v>16</v>
      </c>
      <c r="F21" s="51">
        <v>15000.0</v>
      </c>
      <c r="G21" s="52">
        <v>0.007308</v>
      </c>
      <c r="H21" s="53">
        <f>F21*G21</f>
        <v>109.62</v>
      </c>
      <c r="I21" s="50"/>
    </row>
    <row r="22" spans="1:9" ht="16.5" customHeight="1" x14ac:dyDescent="0.15">
      <c r="A22" s="49" t="s">
        <v>112</v>
      </c>
      <c r="B22" s="50" t="s">
        <v>113</v>
      </c>
      <c r="C22" s="50" t="s">
        <v>90</v>
      </c>
      <c r="D22" s="50" t="s">
        <v>54</v>
      </c>
      <c r="E22" s="50" t="s">
        <v>16</v>
      </c>
      <c r="F22" s="51">
        <v>5000.0</v>
      </c>
      <c r="G22" s="52">
        <v>0.361915</v>
      </c>
      <c r="H22" s="53">
        <f>F22*G22</f>
        <v>1809.575</v>
      </c>
      <c r="I22" s="50"/>
    </row>
    <row r="23" spans="1:9" ht="16.5" customHeight="1" x14ac:dyDescent="0.15">
      <c r="A23" s="69" t="s">
        <v>114</v>
      </c>
      <c r="B23" s="70" t="s">
        <v>115</v>
      </c>
      <c r="C23" s="70" t="s">
        <v>107</v>
      </c>
      <c r="D23" s="70" t="s">
        <v>20</v>
      </c>
      <c r="E23" s="70" t="s">
        <v>20</v>
      </c>
      <c r="F23" s="71">
        <v>30000.0</v>
      </c>
      <c r="G23" s="72">
        <v>0.07</v>
      </c>
      <c r="H23" s="73">
        <f>F23*G23</f>
        <v>2100</v>
      </c>
      <c r="I23" s="70"/>
    </row>
  </sheetData>
  <mergeCells count="1">
    <mergeCell ref="A2:I2"/>
  </mergeCells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0000"/>
    <outlinePr showOutlineSymbols="1"/>
  </sheetPr>
  <dimension ref="A1:I45"/>
  <sheetViews>
    <sheetView zoomScaleNormal="100" topLeftCell="A1" workbookViewId="0">
      <pane ySplit="3" topLeftCell="A4" activePane="bottomLeft" state="frozen"/>
      <selection activeCell="A1" activeCellId="0" sqref="A1"/>
      <selection pane="bottomLeft" activeCell="A1" activeCellId="0" sqref="A1"/>
    </sheetView>
  </sheetViews>
  <sheetFormatPr defaultRowHeight="15.0" defaultColWidth="8.666666666666666" x14ac:dyDescent="0.15"/>
  <cols>
    <col min="1" max="3" width="12.0" customWidth="1" style="1"/>
    <col min="4" max="4" width="16.0" customWidth="1" style="1"/>
    <col min="5" max="6" width="14.0" customWidth="1" style="1"/>
    <col min="7" max="7" width="15.0" customWidth="1" style="1"/>
    <col min="8" max="8" width="16.0" customWidth="1" style="1"/>
    <col min="9" max="9" width="18.0" customWidth="1" style="1"/>
  </cols>
  <sheetData>
    <row r="1" spans="1:1" ht="7.5" customHeight="1" x14ac:dyDescent="0.15"/>
    <row r="2" spans="1:9" ht="24.0" customHeight="1" x14ac:dyDescent="0.15">
      <c r="A2" s="190" t="s">
        <v>116</v>
      </c>
      <c r="B2" s="190"/>
      <c r="C2" s="190"/>
      <c r="D2" s="190"/>
      <c r="E2" s="190"/>
      <c r="F2" s="190"/>
      <c r="G2" s="190"/>
      <c r="H2" s="190"/>
      <c r="I2" s="190"/>
    </row>
    <row r="3" spans="1:9" ht="19.5" customHeight="1" x14ac:dyDescent="0.15">
      <c r="A3" s="7" t="s">
        <v>81</v>
      </c>
      <c r="B3" s="7" t="s">
        <v>117</v>
      </c>
      <c r="C3" s="7" t="s">
        <v>118</v>
      </c>
      <c r="D3" s="7" t="s">
        <v>84</v>
      </c>
      <c r="E3" s="7" t="s">
        <v>9</v>
      </c>
      <c r="F3" s="7" t="s">
        <v>85</v>
      </c>
      <c r="G3" s="7" t="s">
        <v>119</v>
      </c>
      <c r="H3" s="7" t="s">
        <v>120</v>
      </c>
      <c r="I3" s="7" t="s">
        <v>87</v>
      </c>
    </row>
    <row r="4" spans="1:9" ht="16.5" customHeight="1" x14ac:dyDescent="0.15">
      <c r="A4" s="69" t="s">
        <v>121</v>
      </c>
      <c r="B4" s="70" t="s">
        <v>122</v>
      </c>
      <c r="C4" s="70" t="s">
        <v>123</v>
      </c>
      <c r="D4" s="70" t="s">
        <v>20</v>
      </c>
      <c r="E4" s="70" t="s">
        <v>20</v>
      </c>
      <c r="F4" s="71">
        <v>12000.0</v>
      </c>
      <c r="G4" s="72">
        <v>0.07</v>
      </c>
      <c r="H4" s="73">
        <f>F4*G4</f>
        <v>840.0000000000001</v>
      </c>
      <c r="I4" s="70"/>
    </row>
    <row r="5" spans="1:9" ht="16.5" customHeight="1" x14ac:dyDescent="0.15">
      <c r="A5" s="49" t="s">
        <v>124</v>
      </c>
      <c r="B5" s="50" t="s">
        <v>125</v>
      </c>
      <c r="C5" s="50" t="s">
        <v>123</v>
      </c>
      <c r="D5" s="50" t="s">
        <v>52</v>
      </c>
      <c r="E5" s="50" t="s">
        <v>16</v>
      </c>
      <c r="F5" s="51">
        <v>1200.0</v>
      </c>
      <c r="G5" s="52">
        <v>0.205</v>
      </c>
      <c r="H5" s="53">
        <f>F5*G5</f>
        <v>245.99999999999997</v>
      </c>
      <c r="I5" s="50"/>
    </row>
    <row r="6" spans="1:9" ht="16.5" customHeight="1" x14ac:dyDescent="0.15">
      <c r="A6" s="49" t="s">
        <v>124</v>
      </c>
      <c r="B6" s="50" t="s">
        <v>125</v>
      </c>
      <c r="C6" s="50" t="s">
        <v>123</v>
      </c>
      <c r="D6" s="50" t="s">
        <v>53</v>
      </c>
      <c r="E6" s="50" t="s">
        <v>16</v>
      </c>
      <c r="F6" s="51">
        <v>4000.0</v>
      </c>
      <c r="G6" s="52">
        <v>0.307</v>
      </c>
      <c r="H6" s="53">
        <f>F6*G6</f>
        <v>1228</v>
      </c>
      <c r="I6" s="50"/>
    </row>
    <row r="7" spans="1:9" ht="16.5" customHeight="1" x14ac:dyDescent="0.15">
      <c r="A7" s="54" t="s">
        <v>124</v>
      </c>
      <c r="B7" s="55" t="s">
        <v>125</v>
      </c>
      <c r="C7" s="55" t="s">
        <v>123</v>
      </c>
      <c r="D7" s="55" t="s">
        <v>65</v>
      </c>
      <c r="E7" s="55" t="s">
        <v>17</v>
      </c>
      <c r="F7" s="56">
        <v>600.0</v>
      </c>
      <c r="G7" s="57">
        <v>0.357</v>
      </c>
      <c r="H7" s="58">
        <f>F7*G7</f>
        <v>214.2</v>
      </c>
      <c r="I7" s="55"/>
    </row>
    <row r="8" spans="1:9" ht="16.5" customHeight="1" x14ac:dyDescent="0.15">
      <c r="A8" s="49" t="s">
        <v>93</v>
      </c>
      <c r="B8" s="50" t="s">
        <v>126</v>
      </c>
      <c r="C8" s="50" t="s">
        <v>127</v>
      </c>
      <c r="D8" s="50" t="s">
        <v>51</v>
      </c>
      <c r="E8" s="50" t="s">
        <v>16</v>
      </c>
      <c r="F8" s="51">
        <v>1000.0</v>
      </c>
      <c r="G8" s="52">
        <v>0.365</v>
      </c>
      <c r="H8" s="53">
        <f>F8*G8</f>
        <v>365</v>
      </c>
      <c r="I8" s="50"/>
    </row>
    <row r="9" spans="1:9" ht="16.5" customHeight="1" x14ac:dyDescent="0.15">
      <c r="A9" s="49" t="s">
        <v>93</v>
      </c>
      <c r="B9" s="50" t="s">
        <v>126</v>
      </c>
      <c r="C9" s="50" t="s">
        <v>127</v>
      </c>
      <c r="D9" s="50" t="s">
        <v>52</v>
      </c>
      <c r="E9" s="50" t="s">
        <v>16</v>
      </c>
      <c r="F9" s="51">
        <v>1200.0</v>
      </c>
      <c r="G9" s="52">
        <v>0.205</v>
      </c>
      <c r="H9" s="53">
        <f>F9*G9</f>
        <v>245.99999999999997</v>
      </c>
      <c r="I9" s="50"/>
    </row>
    <row r="10" spans="1:9" ht="16.5" customHeight="1" x14ac:dyDescent="0.15">
      <c r="A10" s="49" t="s">
        <v>93</v>
      </c>
      <c r="B10" s="50" t="s">
        <v>126</v>
      </c>
      <c r="C10" s="50" t="s">
        <v>127</v>
      </c>
      <c r="D10" s="50" t="s">
        <v>54</v>
      </c>
      <c r="E10" s="50" t="s">
        <v>16</v>
      </c>
      <c r="F10" s="51">
        <v>900.0</v>
      </c>
      <c r="G10" s="52">
        <v>0.774</v>
      </c>
      <c r="H10" s="53">
        <f>F10*G10</f>
        <v>696.6</v>
      </c>
      <c r="I10" s="50"/>
    </row>
    <row r="11" spans="1:9" ht="16.5" customHeight="1" x14ac:dyDescent="0.15">
      <c r="A11" s="49" t="s">
        <v>93</v>
      </c>
      <c r="B11" s="50" t="s">
        <v>126</v>
      </c>
      <c r="C11" s="50" t="s">
        <v>127</v>
      </c>
      <c r="D11" s="50" t="s">
        <v>55</v>
      </c>
      <c r="E11" s="50" t="s">
        <v>16</v>
      </c>
      <c r="F11" s="51">
        <v>1200.0</v>
      </c>
      <c r="G11" s="52">
        <v>0.595</v>
      </c>
      <c r="H11" s="53">
        <f>F11*G11</f>
        <v>714</v>
      </c>
      <c r="I11" s="50"/>
    </row>
    <row r="12" spans="1:9" ht="16.5" customHeight="1" x14ac:dyDescent="0.15">
      <c r="A12" s="49" t="s">
        <v>93</v>
      </c>
      <c r="B12" s="50" t="s">
        <v>126</v>
      </c>
      <c r="C12" s="50" t="s">
        <v>127</v>
      </c>
      <c r="D12" s="50" t="s">
        <v>57</v>
      </c>
      <c r="E12" s="50" t="s">
        <v>16</v>
      </c>
      <c r="F12" s="51">
        <v>2100.0</v>
      </c>
      <c r="G12" s="52">
        <v>0.515</v>
      </c>
      <c r="H12" s="53">
        <f>F12*G12</f>
        <v>1081.5</v>
      </c>
      <c r="I12" s="50"/>
    </row>
    <row r="13" spans="1:9" ht="16.5" customHeight="1" x14ac:dyDescent="0.15">
      <c r="A13" s="69" t="s">
        <v>93</v>
      </c>
      <c r="B13" s="70" t="s">
        <v>126</v>
      </c>
      <c r="C13" s="70" t="s">
        <v>127</v>
      </c>
      <c r="D13" s="70" t="s">
        <v>20</v>
      </c>
      <c r="E13" s="70" t="s">
        <v>20</v>
      </c>
      <c r="F13" s="71">
        <v>15000.0</v>
      </c>
      <c r="G13" s="72">
        <v>0.07</v>
      </c>
      <c r="H13" s="73">
        <f>F13*G13</f>
        <v>1050</v>
      </c>
      <c r="I13" s="70"/>
    </row>
    <row r="14" spans="1:9" ht="16.5" customHeight="1" x14ac:dyDescent="0.15">
      <c r="A14" s="49" t="s">
        <v>93</v>
      </c>
      <c r="B14" s="50" t="s">
        <v>128</v>
      </c>
      <c r="C14" s="50" t="s">
        <v>127</v>
      </c>
      <c r="D14" s="50" t="s">
        <v>49</v>
      </c>
      <c r="E14" s="50" t="s">
        <v>16</v>
      </c>
      <c r="F14" s="51">
        <v>1000.0</v>
      </c>
      <c r="G14" s="52">
        <v>0.03</v>
      </c>
      <c r="H14" s="53">
        <f>F14*G14</f>
        <v>30</v>
      </c>
      <c r="I14" s="50"/>
    </row>
    <row r="15" spans="1:9" ht="16.5" customHeight="1" x14ac:dyDescent="0.15">
      <c r="A15" s="49" t="s">
        <v>93</v>
      </c>
      <c r="B15" s="50" t="s">
        <v>128</v>
      </c>
      <c r="C15" s="50" t="s">
        <v>127</v>
      </c>
      <c r="D15" s="50" t="s">
        <v>59</v>
      </c>
      <c r="E15" s="50" t="s">
        <v>16</v>
      </c>
      <c r="F15" s="51">
        <v>1000.0</v>
      </c>
      <c r="G15" s="52">
        <v>0.481</v>
      </c>
      <c r="H15" s="53">
        <f>F15*G15</f>
        <v>481</v>
      </c>
      <c r="I15" s="50"/>
    </row>
    <row r="16" spans="1:9" ht="16.5" customHeight="1" x14ac:dyDescent="0.15">
      <c r="A16" s="49" t="s">
        <v>93</v>
      </c>
      <c r="B16" s="50" t="s">
        <v>128</v>
      </c>
      <c r="C16" s="50" t="s">
        <v>127</v>
      </c>
      <c r="D16" s="50" t="s">
        <v>60</v>
      </c>
      <c r="E16" s="50" t="s">
        <v>16</v>
      </c>
      <c r="F16" s="51">
        <v>1000.0</v>
      </c>
      <c r="G16" s="52">
        <v>0.055</v>
      </c>
      <c r="H16" s="53">
        <f>F16*G16</f>
        <v>55</v>
      </c>
      <c r="I16" s="50"/>
    </row>
    <row r="17" spans="1:9" ht="16.5" customHeight="1" x14ac:dyDescent="0.15">
      <c r="A17" s="49" t="s">
        <v>93</v>
      </c>
      <c r="B17" s="50" t="s">
        <v>128</v>
      </c>
      <c r="C17" s="50" t="s">
        <v>127</v>
      </c>
      <c r="D17" s="50" t="s">
        <v>61</v>
      </c>
      <c r="E17" s="50" t="s">
        <v>16</v>
      </c>
      <c r="F17" s="51">
        <v>1000.0</v>
      </c>
      <c r="G17" s="52">
        <v>0.595</v>
      </c>
      <c r="H17" s="53">
        <f>F17*G17</f>
        <v>595</v>
      </c>
      <c r="I17" s="50"/>
    </row>
    <row r="18" spans="1:9" ht="16.5" customHeight="1" x14ac:dyDescent="0.15">
      <c r="A18" s="49" t="s">
        <v>129</v>
      </c>
      <c r="B18" s="50" t="s">
        <v>130</v>
      </c>
      <c r="C18" s="50" t="s">
        <v>123</v>
      </c>
      <c r="D18" s="50" t="s">
        <v>52</v>
      </c>
      <c r="E18" s="50" t="s">
        <v>16</v>
      </c>
      <c r="F18" s="51">
        <v>1200.0</v>
      </c>
      <c r="G18" s="52">
        <v>0.205</v>
      </c>
      <c r="H18" s="53">
        <f>F18*G18</f>
        <v>245.99999999999997</v>
      </c>
      <c r="I18" s="50"/>
    </row>
    <row r="19" spans="1:9" ht="16.5" customHeight="1" x14ac:dyDescent="0.15">
      <c r="A19" s="49" t="s">
        <v>129</v>
      </c>
      <c r="B19" s="50" t="s">
        <v>130</v>
      </c>
      <c r="C19" s="50" t="s">
        <v>123</v>
      </c>
      <c r="D19" s="50" t="s">
        <v>53</v>
      </c>
      <c r="E19" s="50" t="s">
        <v>16</v>
      </c>
      <c r="F19" s="51">
        <v>8000.0</v>
      </c>
      <c r="G19" s="52">
        <v>0.307</v>
      </c>
      <c r="H19" s="53">
        <f>F19*G19</f>
        <v>2456</v>
      </c>
      <c r="I19" s="50"/>
    </row>
    <row r="20" spans="1:9" ht="16.5" customHeight="1" x14ac:dyDescent="0.15">
      <c r="A20" s="54" t="s">
        <v>129</v>
      </c>
      <c r="B20" s="55" t="s">
        <v>130</v>
      </c>
      <c r="C20" s="55" t="s">
        <v>123</v>
      </c>
      <c r="D20" s="55" t="s">
        <v>65</v>
      </c>
      <c r="E20" s="55" t="s">
        <v>17</v>
      </c>
      <c r="F20" s="56">
        <v>6400.0</v>
      </c>
      <c r="G20" s="57">
        <v>0.357</v>
      </c>
      <c r="H20" s="58">
        <f>F20*G20</f>
        <v>2284.7999999999997</v>
      </c>
      <c r="I20" s="55"/>
    </row>
    <row r="21" spans="1:9" ht="16.5" customHeight="1" x14ac:dyDescent="0.15">
      <c r="A21" s="69" t="s">
        <v>129</v>
      </c>
      <c r="B21" s="70" t="s">
        <v>130</v>
      </c>
      <c r="C21" s="70" t="s">
        <v>123</v>
      </c>
      <c r="D21" s="70" t="s">
        <v>20</v>
      </c>
      <c r="E21" s="70" t="s">
        <v>20</v>
      </c>
      <c r="F21" s="71">
        <v>15000.0</v>
      </c>
      <c r="G21" s="72">
        <v>0.07</v>
      </c>
      <c r="H21" s="73">
        <f>F21*G21</f>
        <v>1050</v>
      </c>
      <c r="I21" s="70"/>
    </row>
    <row r="22" spans="1:9" ht="16.5" customHeight="1" x14ac:dyDescent="0.15">
      <c r="A22" s="64" t="s">
        <v>131</v>
      </c>
      <c r="B22" s="65" t="s">
        <v>132</v>
      </c>
      <c r="C22" s="65" t="s">
        <v>123</v>
      </c>
      <c r="D22" s="65" t="s">
        <v>73</v>
      </c>
      <c r="E22" s="65" t="s">
        <v>19</v>
      </c>
      <c r="F22" s="66">
        <v>1500.0</v>
      </c>
      <c r="G22" s="67">
        <v>0.129</v>
      </c>
      <c r="H22" s="68">
        <f>F22*G22</f>
        <v>193.5</v>
      </c>
      <c r="I22" s="65"/>
    </row>
    <row r="23" spans="1:9" ht="16.5" customHeight="1" x14ac:dyDescent="0.15">
      <c r="A23" s="64" t="s">
        <v>131</v>
      </c>
      <c r="B23" s="65" t="s">
        <v>132</v>
      </c>
      <c r="C23" s="65" t="s">
        <v>123</v>
      </c>
      <c r="D23" s="65" t="s">
        <v>74</v>
      </c>
      <c r="E23" s="65" t="s">
        <v>19</v>
      </c>
      <c r="F23" s="66">
        <v>3000.0</v>
      </c>
      <c r="G23" s="67">
        <v>0.035</v>
      </c>
      <c r="H23" s="68">
        <f>F23*G23</f>
        <v>105.00000000000001</v>
      </c>
      <c r="I23" s="65"/>
    </row>
    <row r="24" spans="1:9" ht="16.5" customHeight="1" x14ac:dyDescent="0.15">
      <c r="A24" s="64" t="s">
        <v>131</v>
      </c>
      <c r="B24" s="65" t="s">
        <v>132</v>
      </c>
      <c r="C24" s="65" t="s">
        <v>123</v>
      </c>
      <c r="D24" s="65" t="s">
        <v>75</v>
      </c>
      <c r="E24" s="65" t="s">
        <v>19</v>
      </c>
      <c r="F24" s="66">
        <v>1000.0</v>
      </c>
      <c r="G24" s="67">
        <v>0.549</v>
      </c>
      <c r="H24" s="68">
        <f>F24*G24</f>
        <v>549</v>
      </c>
      <c r="I24" s="65"/>
    </row>
    <row r="25" spans="1:9" ht="16.5" customHeight="1" x14ac:dyDescent="0.15">
      <c r="A25" s="64" t="s">
        <v>131</v>
      </c>
      <c r="B25" s="65" t="s">
        <v>132</v>
      </c>
      <c r="C25" s="65" t="s">
        <v>123</v>
      </c>
      <c r="D25" s="65" t="s">
        <v>76</v>
      </c>
      <c r="E25" s="65" t="s">
        <v>19</v>
      </c>
      <c r="F25" s="66">
        <v>700.0</v>
      </c>
      <c r="G25" s="67">
        <v>0.355</v>
      </c>
      <c r="H25" s="68">
        <f>F25*G25</f>
        <v>248.5</v>
      </c>
      <c r="I25" s="65"/>
    </row>
    <row r="26" spans="1:9" ht="16.5" customHeight="1" x14ac:dyDescent="0.15">
      <c r="A26" s="64" t="s">
        <v>131</v>
      </c>
      <c r="B26" s="65" t="s">
        <v>132</v>
      </c>
      <c r="C26" s="65" t="s">
        <v>123</v>
      </c>
      <c r="D26" s="65" t="s">
        <v>77</v>
      </c>
      <c r="E26" s="65" t="s">
        <v>19</v>
      </c>
      <c r="F26" s="66">
        <v>1180.0</v>
      </c>
      <c r="G26" s="67">
        <v>0.355</v>
      </c>
      <c r="H26" s="68">
        <f>F26*G26</f>
        <v>418.9</v>
      </c>
      <c r="I26" s="65"/>
    </row>
    <row r="27" spans="1:9" ht="16.5" customHeight="1" x14ac:dyDescent="0.15">
      <c r="A27" s="49" t="s">
        <v>133</v>
      </c>
      <c r="B27" s="50" t="s">
        <v>134</v>
      </c>
      <c r="C27" s="50" t="s">
        <v>123</v>
      </c>
      <c r="D27" s="50" t="s">
        <v>55</v>
      </c>
      <c r="E27" s="50" t="s">
        <v>16</v>
      </c>
      <c r="F27" s="51">
        <v>2100.0</v>
      </c>
      <c r="G27" s="52">
        <v>0.595</v>
      </c>
      <c r="H27" s="53">
        <f>F27*G27</f>
        <v>1249.5</v>
      </c>
      <c r="I27" s="50"/>
    </row>
    <row r="28" spans="1:9" ht="16.5" customHeight="1" x14ac:dyDescent="0.15">
      <c r="A28" s="54" t="s">
        <v>133</v>
      </c>
      <c r="B28" s="55" t="s">
        <v>134</v>
      </c>
      <c r="C28" s="55" t="s">
        <v>123</v>
      </c>
      <c r="D28" s="55" t="s">
        <v>65</v>
      </c>
      <c r="E28" s="55" t="s">
        <v>17</v>
      </c>
      <c r="F28" s="56">
        <v>6400.0</v>
      </c>
      <c r="G28" s="57">
        <v>0.357</v>
      </c>
      <c r="H28" s="58">
        <f>F28*G28</f>
        <v>2284.7999999999997</v>
      </c>
      <c r="I28" s="55"/>
    </row>
    <row r="29" spans="1:9" ht="16.5" customHeight="1" x14ac:dyDescent="0.15">
      <c r="A29" s="49" t="s">
        <v>133</v>
      </c>
      <c r="B29" s="50" t="s">
        <v>135</v>
      </c>
      <c r="C29" s="50" t="s">
        <v>127</v>
      </c>
      <c r="D29" s="50" t="s">
        <v>51</v>
      </c>
      <c r="E29" s="50" t="s">
        <v>16</v>
      </c>
      <c r="F29" s="51">
        <v>4000.0</v>
      </c>
      <c r="G29" s="52">
        <v>0.365</v>
      </c>
      <c r="H29" s="53">
        <f>F29*G29</f>
        <v>1460</v>
      </c>
      <c r="I29" s="50"/>
    </row>
    <row r="30" spans="1:9" ht="16.5" customHeight="1" x14ac:dyDescent="0.15">
      <c r="A30" s="49" t="s">
        <v>133</v>
      </c>
      <c r="B30" s="50" t="s">
        <v>135</v>
      </c>
      <c r="C30" s="50" t="s">
        <v>127</v>
      </c>
      <c r="D30" s="50" t="s">
        <v>54</v>
      </c>
      <c r="E30" s="50" t="s">
        <v>16</v>
      </c>
      <c r="F30" s="51">
        <v>2100.0</v>
      </c>
      <c r="G30" s="52">
        <v>0.774</v>
      </c>
      <c r="H30" s="53">
        <f>F30*G30</f>
        <v>1625.4</v>
      </c>
      <c r="I30" s="50"/>
    </row>
    <row r="31" spans="1:9" ht="16.5" customHeight="1" x14ac:dyDescent="0.15">
      <c r="A31" s="49" t="s">
        <v>133</v>
      </c>
      <c r="B31" s="50" t="s">
        <v>135</v>
      </c>
      <c r="C31" s="50" t="s">
        <v>127</v>
      </c>
      <c r="D31" s="50" t="s">
        <v>57</v>
      </c>
      <c r="E31" s="50" t="s">
        <v>16</v>
      </c>
      <c r="F31" s="51">
        <v>5100.0</v>
      </c>
      <c r="G31" s="52">
        <v>0.515</v>
      </c>
      <c r="H31" s="53">
        <f>F31*G31</f>
        <v>2626.5</v>
      </c>
      <c r="I31" s="50"/>
    </row>
    <row r="32" spans="1:9" ht="16.5" customHeight="1" x14ac:dyDescent="0.15">
      <c r="A32" s="69" t="s">
        <v>133</v>
      </c>
      <c r="B32" s="70" t="s">
        <v>135</v>
      </c>
      <c r="C32" s="70" t="s">
        <v>127</v>
      </c>
      <c r="D32" s="70" t="s">
        <v>20</v>
      </c>
      <c r="E32" s="70" t="s">
        <v>20</v>
      </c>
      <c r="F32" s="71">
        <v>15000.0</v>
      </c>
      <c r="G32" s="72">
        <v>0.07</v>
      </c>
      <c r="H32" s="73">
        <f>F32*G32</f>
        <v>1050</v>
      </c>
      <c r="I32" s="70"/>
    </row>
    <row r="33" spans="1:9" ht="16.5" customHeight="1" x14ac:dyDescent="0.15">
      <c r="A33" s="69" t="s">
        <v>136</v>
      </c>
      <c r="B33" s="70" t="s">
        <v>137</v>
      </c>
      <c r="C33" s="70" t="s">
        <v>123</v>
      </c>
      <c r="D33" s="70" t="s">
        <v>20</v>
      </c>
      <c r="E33" s="70" t="s">
        <v>20</v>
      </c>
      <c r="F33" s="71">
        <v>15000.0</v>
      </c>
      <c r="G33" s="72">
        <v>0.07</v>
      </c>
      <c r="H33" s="73">
        <f>F33*G33</f>
        <v>1050</v>
      </c>
      <c r="I33" s="70"/>
    </row>
    <row r="34" spans="1:9" ht="16.5" customHeight="1" x14ac:dyDescent="0.15">
      <c r="A34" s="49" t="s">
        <v>138</v>
      </c>
      <c r="B34" s="50" t="s">
        <v>139</v>
      </c>
      <c r="C34" s="50" t="s">
        <v>123</v>
      </c>
      <c r="D34" s="50" t="s">
        <v>53</v>
      </c>
      <c r="E34" s="50" t="s">
        <v>16</v>
      </c>
      <c r="F34" s="51">
        <v>8000.0</v>
      </c>
      <c r="G34" s="52">
        <v>0.307</v>
      </c>
      <c r="H34" s="53">
        <f>F34*G34</f>
        <v>2456</v>
      </c>
      <c r="I34" s="50"/>
    </row>
    <row r="35" spans="1:9" ht="16.5" customHeight="1" x14ac:dyDescent="0.15">
      <c r="A35" s="49" t="s">
        <v>138</v>
      </c>
      <c r="B35" s="50" t="s">
        <v>139</v>
      </c>
      <c r="C35" s="50" t="s">
        <v>123</v>
      </c>
      <c r="D35" s="50" t="s">
        <v>55</v>
      </c>
      <c r="E35" s="50" t="s">
        <v>16</v>
      </c>
      <c r="F35" s="51">
        <v>1800.0</v>
      </c>
      <c r="G35" s="52">
        <v>0.595</v>
      </c>
      <c r="H35" s="53">
        <f>F35*G35</f>
        <v>1071</v>
      </c>
      <c r="I35" s="50"/>
    </row>
    <row r="36" spans="1:9" ht="16.5" customHeight="1" x14ac:dyDescent="0.15">
      <c r="A36" s="54" t="s">
        <v>138</v>
      </c>
      <c r="B36" s="55" t="s">
        <v>139</v>
      </c>
      <c r="C36" s="55" t="s">
        <v>123</v>
      </c>
      <c r="D36" s="55" t="s">
        <v>65</v>
      </c>
      <c r="E36" s="55" t="s">
        <v>17</v>
      </c>
      <c r="F36" s="56">
        <v>9600.0</v>
      </c>
      <c r="G36" s="57">
        <v>0.357</v>
      </c>
      <c r="H36" s="58">
        <f>F36*G36</f>
        <v>3427.2</v>
      </c>
      <c r="I36" s="55"/>
    </row>
    <row r="37" spans="1:9" ht="16.5" customHeight="1" x14ac:dyDescent="0.15">
      <c r="A37" s="64" t="s">
        <v>138</v>
      </c>
      <c r="B37" s="65" t="s">
        <v>140</v>
      </c>
      <c r="C37" s="65" t="s">
        <v>123</v>
      </c>
      <c r="D37" s="65" t="s">
        <v>73</v>
      </c>
      <c r="E37" s="65" t="s">
        <v>19</v>
      </c>
      <c r="F37" s="66">
        <v>2000.0</v>
      </c>
      <c r="G37" s="67">
        <v>0.129</v>
      </c>
      <c r="H37" s="68">
        <f>F37*G37</f>
        <v>258</v>
      </c>
      <c r="I37" s="65"/>
    </row>
    <row r="38" spans="1:9" ht="16.5" customHeight="1" x14ac:dyDescent="0.15">
      <c r="A38" s="64" t="s">
        <v>138</v>
      </c>
      <c r="B38" s="65" t="s">
        <v>140</v>
      </c>
      <c r="C38" s="65" t="s">
        <v>123</v>
      </c>
      <c r="D38" s="65" t="s">
        <v>74</v>
      </c>
      <c r="E38" s="65" t="s">
        <v>19</v>
      </c>
      <c r="F38" s="66">
        <v>2000.0</v>
      </c>
      <c r="G38" s="67">
        <v>0.035</v>
      </c>
      <c r="H38" s="68">
        <f>F38*G38</f>
        <v>70</v>
      </c>
      <c r="I38" s="65"/>
    </row>
    <row r="39" spans="1:9" ht="16.5" customHeight="1" x14ac:dyDescent="0.15">
      <c r="A39" s="64" t="s">
        <v>141</v>
      </c>
      <c r="B39" s="65" t="s">
        <v>142</v>
      </c>
      <c r="C39" s="65" t="s">
        <v>123</v>
      </c>
      <c r="D39" s="65" t="s">
        <v>73</v>
      </c>
      <c r="E39" s="65" t="s">
        <v>19</v>
      </c>
      <c r="F39" s="66">
        <v>2000.0</v>
      </c>
      <c r="G39" s="67">
        <v>0.129</v>
      </c>
      <c r="H39" s="68">
        <f>F39*G39</f>
        <v>258</v>
      </c>
      <c r="I39" s="65"/>
    </row>
    <row r="40" spans="1:9" ht="16.5" customHeight="1" x14ac:dyDescent="0.15">
      <c r="A40" s="49" t="s">
        <v>97</v>
      </c>
      <c r="B40" s="50" t="s">
        <v>143</v>
      </c>
      <c r="C40" s="50" t="s">
        <v>127</v>
      </c>
      <c r="D40" s="50" t="s">
        <v>51</v>
      </c>
      <c r="E40" s="50" t="s">
        <v>16</v>
      </c>
      <c r="F40" s="51">
        <v>4000.0</v>
      </c>
      <c r="G40" s="52">
        <v>0.365</v>
      </c>
      <c r="H40" s="53">
        <f>F40*G40</f>
        <v>1460</v>
      </c>
      <c r="I40" s="50"/>
    </row>
    <row r="41" spans="1:9" ht="16.5" customHeight="1" x14ac:dyDescent="0.15">
      <c r="A41" s="49" t="s">
        <v>97</v>
      </c>
      <c r="B41" s="50" t="s">
        <v>143</v>
      </c>
      <c r="C41" s="50" t="s">
        <v>127</v>
      </c>
      <c r="D41" s="50" t="s">
        <v>52</v>
      </c>
      <c r="E41" s="50" t="s">
        <v>16</v>
      </c>
      <c r="F41" s="51">
        <v>3000.0</v>
      </c>
      <c r="G41" s="52">
        <v>0.205</v>
      </c>
      <c r="H41" s="53">
        <f>F41*G41</f>
        <v>615</v>
      </c>
      <c r="I41" s="50"/>
    </row>
    <row r="42" spans="1:9" ht="16.5" customHeight="1" x14ac:dyDescent="0.15">
      <c r="A42" s="49" t="s">
        <v>97</v>
      </c>
      <c r="B42" s="50" t="s">
        <v>143</v>
      </c>
      <c r="C42" s="50" t="s">
        <v>127</v>
      </c>
      <c r="D42" s="50" t="s">
        <v>54</v>
      </c>
      <c r="E42" s="50" t="s">
        <v>16</v>
      </c>
      <c r="F42" s="51">
        <v>3000.0</v>
      </c>
      <c r="G42" s="52">
        <v>0.774</v>
      </c>
      <c r="H42" s="53">
        <f>F42*G42</f>
        <v>2322</v>
      </c>
      <c r="I42" s="50"/>
    </row>
    <row r="43" spans="1:9" ht="16.5" customHeight="1" x14ac:dyDescent="0.15">
      <c r="A43" s="49" t="s">
        <v>97</v>
      </c>
      <c r="B43" s="50" t="s">
        <v>143</v>
      </c>
      <c r="C43" s="50" t="s">
        <v>127</v>
      </c>
      <c r="D43" s="50" t="s">
        <v>55</v>
      </c>
      <c r="E43" s="50" t="s">
        <v>16</v>
      </c>
      <c r="F43" s="51">
        <v>3000.0</v>
      </c>
      <c r="G43" s="52">
        <v>0.595</v>
      </c>
      <c r="H43" s="53">
        <f>F43*G43</f>
        <v>1785</v>
      </c>
      <c r="I43" s="50"/>
    </row>
    <row r="44" spans="1:9" ht="16.5" customHeight="1" x14ac:dyDescent="0.15">
      <c r="A44" s="49" t="s">
        <v>97</v>
      </c>
      <c r="B44" s="50" t="s">
        <v>143</v>
      </c>
      <c r="C44" s="50" t="s">
        <v>127</v>
      </c>
      <c r="D44" s="50" t="s">
        <v>57</v>
      </c>
      <c r="E44" s="50" t="s">
        <v>16</v>
      </c>
      <c r="F44" s="51">
        <v>4800.0</v>
      </c>
      <c r="G44" s="52">
        <v>0.515</v>
      </c>
      <c r="H44" s="53">
        <f>F44*G44</f>
        <v>2472</v>
      </c>
      <c r="I44" s="50"/>
    </row>
    <row r="45" spans="1:9" ht="16.5" customHeight="1" x14ac:dyDescent="0.15">
      <c r="A45" s="69" t="s">
        <v>97</v>
      </c>
      <c r="B45" s="70" t="s">
        <v>143</v>
      </c>
      <c r="C45" s="70" t="s">
        <v>127</v>
      </c>
      <c r="D45" s="70" t="s">
        <v>20</v>
      </c>
      <c r="E45" s="70" t="s">
        <v>20</v>
      </c>
      <c r="F45" s="71">
        <v>15000.0</v>
      </c>
      <c r="G45" s="72">
        <v>0.07</v>
      </c>
      <c r="H45" s="73">
        <f>F45*G45</f>
        <v>1050</v>
      </c>
      <c r="I45" s="70"/>
    </row>
  </sheetData>
  <mergeCells count="1">
    <mergeCell ref="A2:I2"/>
  </mergeCells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E8A020"/>
    <outlinePr showOutlineSymbols="1"/>
  </sheetPr>
  <dimension ref="A1:J36"/>
  <sheetViews>
    <sheetView zoomScaleNormal="100" topLeftCell="A1" workbookViewId="0">
      <pane ySplit="3" topLeftCell="A4" activePane="bottomLeft" state="frozen"/>
      <selection activeCell="A1" activeCellId="0" sqref="A1"/>
      <selection pane="bottomLeft" activeCell="A1" activeCellId="0" sqref="A1"/>
    </sheetView>
  </sheetViews>
  <sheetFormatPr defaultRowHeight="15.0" defaultColWidth="8.666666666666666" x14ac:dyDescent="0.15"/>
  <cols>
    <col min="1" max="2" width="14.0" customWidth="1" style="1"/>
    <col min="3" max="7" width="15.0" customWidth="1" style="1"/>
    <col min="8" max="9" width="14.0" customWidth="1" style="1"/>
    <col min="10" max="10" width="12.0" customWidth="1" style="1"/>
  </cols>
  <sheetData>
    <row r="1" spans="1:1" ht="7.5" customHeight="1" x14ac:dyDescent="0.15"/>
    <row r="2" spans="1:10" ht="24.0" customHeight="1" x14ac:dyDescent="0.15">
      <c r="A2" s="191" t="s">
        <v>144</v>
      </c>
      <c r="B2" s="191"/>
      <c r="C2" s="191"/>
      <c r="D2" s="191"/>
      <c r="E2" s="191"/>
      <c r="F2" s="191"/>
      <c r="G2" s="191"/>
      <c r="H2" s="191"/>
      <c r="I2" s="191"/>
      <c r="J2" s="191"/>
    </row>
    <row r="3" spans="1:10" ht="19.5" customHeight="1" x14ac:dyDescent="0.15">
      <c r="A3" s="7" t="s">
        <v>40</v>
      </c>
      <c r="B3" s="7" t="s">
        <v>9</v>
      </c>
      <c r="C3" s="7" t="s">
        <v>145</v>
      </c>
      <c r="D3" s="7" t="s">
        <v>146</v>
      </c>
      <c r="E3" s="7" t="s">
        <v>147</v>
      </c>
      <c r="F3" s="7" t="s">
        <v>148</v>
      </c>
      <c r="G3" s="7" t="s">
        <v>149</v>
      </c>
      <c r="H3" s="7" t="s">
        <v>44</v>
      </c>
      <c r="I3" s="7" t="s">
        <v>45</v>
      </c>
      <c r="J3" s="7" t="s">
        <v>150</v>
      </c>
    </row>
    <row r="4" spans="1:10" ht="16.5" customHeight="1" x14ac:dyDescent="0.15">
      <c r="A4" s="50" t="s">
        <v>49</v>
      </c>
      <c r="B4" s="50" t="s">
        <v>16</v>
      </c>
      <c r="C4" s="76">
        <v>0.0</v>
      </c>
      <c r="D4" s="51">
        <v>1000.0</v>
      </c>
      <c r="E4" s="51">
        <v>1000.0</v>
      </c>
      <c r="F4" s="51">
        <f>C4+D4-E4</f>
        <v>0</v>
      </c>
      <c r="G4" s="53">
        <f>F4*H4</f>
        <v>0</v>
      </c>
      <c r="H4" s="52">
        <v>0.007308</v>
      </c>
      <c r="I4" s="52">
        <v>0.03</v>
      </c>
      <c r="J4" s="50" t="s">
        <f>IF(F4&lt;0,"⚠️ NEGATIVO",IF(F4=0,"⬛ ZERO","✅ OK"))</f>
        <v>151</v>
      </c>
    </row>
    <row r="5" spans="1:10" ht="16.5" customHeight="1" x14ac:dyDescent="0.15">
      <c r="A5" s="50" t="s">
        <v>50</v>
      </c>
      <c r="B5" s="50" t="s">
        <v>16</v>
      </c>
      <c r="C5" s="76">
        <v>0.0</v>
      </c>
      <c r="D5" s="51">
        <v>4000.0</v>
      </c>
      <c r="E5" s="51">
        <v>2000.0</v>
      </c>
      <c r="F5" s="51">
        <f>C5+D5-E5</f>
        <v>2000</v>
      </c>
      <c r="G5" s="53">
        <f>F5*H5</f>
        <v>336.92</v>
      </c>
      <c r="H5" s="52">
        <v>0.16846</v>
      </c>
      <c r="I5" s="52">
        <v>0.365</v>
      </c>
      <c r="J5" s="50" t="s">
        <f>IF(F5&lt;0,"⚠️ NEGATIVO",IF(F5=0,"⬛ ZERO","✅ OK"))</f>
        <v>152</v>
      </c>
    </row>
    <row r="6" spans="1:10" ht="16.5" customHeight="1" x14ac:dyDescent="0.15">
      <c r="A6" s="50" t="s">
        <v>51</v>
      </c>
      <c r="B6" s="50" t="s">
        <v>16</v>
      </c>
      <c r="C6" s="76">
        <v>0.0</v>
      </c>
      <c r="D6" s="51">
        <v>24000.0</v>
      </c>
      <c r="E6" s="51">
        <v>15000.0</v>
      </c>
      <c r="F6" s="51">
        <f>C6+D6-E6</f>
        <v>9000</v>
      </c>
      <c r="G6" s="53">
        <f>F6*H6</f>
        <v>1553.04</v>
      </c>
      <c r="H6" s="52">
        <v>0.17256</v>
      </c>
      <c r="I6" s="52">
        <v>0.365</v>
      </c>
      <c r="J6" s="50" t="s">
        <f>IF(F6&lt;0,"⚠️ NEGATIVO",IF(F6=0,"⬛ ZERO","✅ OK"))</f>
        <v>152</v>
      </c>
    </row>
    <row r="7" spans="1:10" ht="16.5" customHeight="1" x14ac:dyDescent="0.15">
      <c r="A7" s="50" t="s">
        <v>52</v>
      </c>
      <c r="B7" s="50" t="s">
        <v>16</v>
      </c>
      <c r="C7" s="76">
        <v>0.0</v>
      </c>
      <c r="D7" s="51">
        <v>30000.0</v>
      </c>
      <c r="E7" s="51">
        <v>25200.0</v>
      </c>
      <c r="F7" s="51">
        <f>C7+D7-E7</f>
        <v>4800</v>
      </c>
      <c r="G7" s="53">
        <f>F7*H7</f>
        <v>505.344</v>
      </c>
      <c r="H7" s="52">
        <v>0.10528</v>
      </c>
      <c r="I7" s="52">
        <v>0.205</v>
      </c>
      <c r="J7" s="50" t="s">
        <f>IF(F7&lt;0,"⚠️ NEGATIVO",IF(F7=0,"⬛ ZERO","✅ OK"))</f>
        <v>152</v>
      </c>
    </row>
    <row r="8" spans="1:10" ht="16.5" customHeight="1" x14ac:dyDescent="0.15">
      <c r="A8" s="50" t="s">
        <v>53</v>
      </c>
      <c r="B8" s="50" t="s">
        <v>16</v>
      </c>
      <c r="C8" s="76">
        <v>0.0</v>
      </c>
      <c r="D8" s="51">
        <v>55000.0</v>
      </c>
      <c r="E8" s="51">
        <v>46000.0</v>
      </c>
      <c r="F8" s="51">
        <f>C8+D8-E8</f>
        <v>9000</v>
      </c>
      <c r="G8" s="53">
        <f>F8*H8</f>
        <v>1106.6580000000001</v>
      </c>
      <c r="H8" s="52">
        <v>0.122962</v>
      </c>
      <c r="I8" s="52">
        <v>0.307</v>
      </c>
      <c r="J8" s="50" t="s">
        <f>IF(F8&lt;0,"⚠️ NEGATIVO",IF(F8=0,"⬛ ZERO","✅ OK"))</f>
        <v>152</v>
      </c>
    </row>
    <row r="9" spans="1:10" ht="16.5" customHeight="1" x14ac:dyDescent="0.15">
      <c r="A9" s="50" t="s">
        <v>54</v>
      </c>
      <c r="B9" s="50" t="s">
        <v>16</v>
      </c>
      <c r="C9" s="76">
        <v>0.0</v>
      </c>
      <c r="D9" s="51">
        <v>18000.0</v>
      </c>
      <c r="E9" s="51">
        <v>15900.0</v>
      </c>
      <c r="F9" s="51">
        <f>C9+D9-E9</f>
        <v>2100</v>
      </c>
      <c r="G9" s="53">
        <f>F9*H9</f>
        <v>760.0215</v>
      </c>
      <c r="H9" s="52">
        <v>0.361915</v>
      </c>
      <c r="I9" s="52">
        <v>0.774</v>
      </c>
      <c r="J9" s="50" t="s">
        <f>IF(F9&lt;0,"⚠️ NEGATIVO",IF(F9=0,"⬛ ZERO","✅ OK"))</f>
        <v>152</v>
      </c>
    </row>
    <row r="10" spans="1:10" ht="16.5" customHeight="1" x14ac:dyDescent="0.15">
      <c r="A10" s="50" t="s">
        <v>55</v>
      </c>
      <c r="B10" s="50" t="s">
        <v>16</v>
      </c>
      <c r="C10" s="76">
        <v>0.0</v>
      </c>
      <c r="D10" s="51">
        <v>33000.0</v>
      </c>
      <c r="E10" s="51">
        <v>27600.0</v>
      </c>
      <c r="F10" s="51">
        <f>C10+D10-E10</f>
        <v>5400</v>
      </c>
      <c r="G10" s="53">
        <f>F10*H10</f>
        <v>1351.1178</v>
      </c>
      <c r="H10" s="52">
        <v>0.250207</v>
      </c>
      <c r="I10" s="52">
        <v>0.595</v>
      </c>
      <c r="J10" s="50" t="s">
        <f>IF(F10&lt;0,"⚠️ NEGATIVO",IF(F10=0,"⬛ ZERO","✅ OK"))</f>
        <v>152</v>
      </c>
    </row>
    <row r="11" spans="1:10" ht="16.5" customHeight="1" x14ac:dyDescent="0.15">
      <c r="A11" s="50" t="s">
        <v>56</v>
      </c>
      <c r="B11" s="50" t="s">
        <v>16</v>
      </c>
      <c r="C11" s="76">
        <v>0.0</v>
      </c>
      <c r="D11" s="51">
        <v>3000.0</v>
      </c>
      <c r="E11" s="51">
        <v>900.0</v>
      </c>
      <c r="F11" s="51">
        <f>C11+D11-E11</f>
        <v>2100</v>
      </c>
      <c r="G11" s="53">
        <f>F11*H11</f>
        <v>617.6877</v>
      </c>
      <c r="H11" s="52">
        <v>0.294137</v>
      </c>
      <c r="I11" s="52">
        <v>0.63</v>
      </c>
      <c r="J11" s="50" t="s">
        <f>IF(F11&lt;0,"⚠️ NEGATIVO",IF(F11=0,"⬛ ZERO","✅ OK"))</f>
        <v>152</v>
      </c>
    </row>
    <row r="12" spans="1:10" ht="16.5" customHeight="1" x14ac:dyDescent="0.15">
      <c r="A12" s="50" t="s">
        <v>57</v>
      </c>
      <c r="B12" s="50" t="s">
        <v>16</v>
      </c>
      <c r="C12" s="76">
        <v>0.0</v>
      </c>
      <c r="D12" s="51">
        <v>29000.0</v>
      </c>
      <c r="E12" s="51">
        <v>23700.0</v>
      </c>
      <c r="F12" s="51">
        <f>C12+D12-E12</f>
        <v>5300</v>
      </c>
      <c r="G12" s="53">
        <f>F12*H12</f>
        <v>1379.5211</v>
      </c>
      <c r="H12" s="52">
        <v>0.260287</v>
      </c>
      <c r="I12" s="52">
        <v>0.515</v>
      </c>
      <c r="J12" s="50" t="s">
        <f>IF(F12&lt;0,"⚠️ NEGATIVO",IF(F12=0,"⬛ ZERO","✅ OK"))</f>
        <v>152</v>
      </c>
    </row>
    <row r="13" spans="1:10" ht="16.5" customHeight="1" x14ac:dyDescent="0.15">
      <c r="A13" s="50" t="s">
        <v>58</v>
      </c>
      <c r="B13" s="50" t="s">
        <v>16</v>
      </c>
      <c r="C13" s="76">
        <v>0.0</v>
      </c>
      <c r="D13" s="51">
        <v>0.0</v>
      </c>
      <c r="E13" s="51">
        <v>0.0</v>
      </c>
      <c r="F13" s="51">
        <f>C13+D13-E13</f>
        <v>0</v>
      </c>
      <c r="G13" s="53">
        <f>F13*H13</f>
        <v>0</v>
      </c>
      <c r="H13" s="52">
        <v>0.02</v>
      </c>
      <c r="I13" s="52">
        <v>0.05</v>
      </c>
      <c r="J13" s="50" t="s">
        <f>IF(F13&lt;0,"⚠️ NEGATIVO",IF(F13=0,"⬛ ZERO","✅ OK"))</f>
        <v>151</v>
      </c>
    </row>
    <row r="14" spans="1:10" ht="16.5" customHeight="1" x14ac:dyDescent="0.15">
      <c r="A14" s="50" t="s">
        <v>59</v>
      </c>
      <c r="B14" s="50" t="s">
        <v>16</v>
      </c>
      <c r="C14" s="76">
        <v>0.0</v>
      </c>
      <c r="D14" s="51">
        <v>2000.0</v>
      </c>
      <c r="E14" s="51">
        <v>1000.0</v>
      </c>
      <c r="F14" s="51">
        <f>C14+D14-E14</f>
        <v>1000</v>
      </c>
      <c r="G14" s="53">
        <f>F14*H14</f>
        <v>206.22</v>
      </c>
      <c r="H14" s="52">
        <v>0.20622</v>
      </c>
      <c r="I14" s="52">
        <v>0.481</v>
      </c>
      <c r="J14" s="50" t="s">
        <f>IF(F14&lt;0,"⚠️ NEGATIVO",IF(F14=0,"⬛ ZERO","✅ OK"))</f>
        <v>152</v>
      </c>
    </row>
    <row r="15" spans="1:10" ht="16.5" customHeight="1" x14ac:dyDescent="0.15">
      <c r="A15" s="50" t="s">
        <v>60</v>
      </c>
      <c r="B15" s="50" t="s">
        <v>16</v>
      </c>
      <c r="C15" s="76">
        <v>0.0</v>
      </c>
      <c r="D15" s="51">
        <v>3000.0</v>
      </c>
      <c r="E15" s="51">
        <v>2000.0</v>
      </c>
      <c r="F15" s="51">
        <f>C15+D15-E15</f>
        <v>1000</v>
      </c>
      <c r="G15" s="53">
        <f>F15*H15</f>
        <v>12.291</v>
      </c>
      <c r="H15" s="52">
        <v>0.012291</v>
      </c>
      <c r="I15" s="52">
        <v>0.055</v>
      </c>
      <c r="J15" s="50" t="s">
        <f>IF(F15&lt;0,"⚠️ NEGATIVO",IF(F15=0,"⬛ ZERO","✅ OK"))</f>
        <v>152</v>
      </c>
    </row>
    <row r="16" spans="1:10" ht="16.5" customHeight="1" x14ac:dyDescent="0.15">
      <c r="A16" s="50" t="s">
        <v>61</v>
      </c>
      <c r="B16" s="50" t="s">
        <v>16</v>
      </c>
      <c r="C16" s="76">
        <v>0.0</v>
      </c>
      <c r="D16" s="51">
        <v>2000.0</v>
      </c>
      <c r="E16" s="51">
        <v>2000.0</v>
      </c>
      <c r="F16" s="51">
        <f>C16+D16-E16</f>
        <v>0</v>
      </c>
      <c r="G16" s="53">
        <f>F16*H16</f>
        <v>0</v>
      </c>
      <c r="H16" s="52">
        <v>0.260596</v>
      </c>
      <c r="I16" s="52">
        <v>0.595</v>
      </c>
      <c r="J16" s="50" t="s">
        <f>IF(F16&lt;0,"⚠️ NEGATIVO",IF(F16=0,"⬛ ZERO","✅ OK"))</f>
        <v>151</v>
      </c>
    </row>
    <row r="17" spans="1:10" ht="16.5" customHeight="1" x14ac:dyDescent="0.15">
      <c r="A17" s="50" t="s">
        <v>62</v>
      </c>
      <c r="B17" s="50" t="s">
        <v>16</v>
      </c>
      <c r="C17" s="76">
        <v>0.0</v>
      </c>
      <c r="D17" s="51">
        <v>13000.0</v>
      </c>
      <c r="E17" s="51">
        <v>7300.0</v>
      </c>
      <c r="F17" s="51">
        <f>C17+D17-E17</f>
        <v>5700</v>
      </c>
      <c r="G17" s="53">
        <f>F17*H17</f>
        <v>1482.9518999999998</v>
      </c>
      <c r="H17" s="52">
        <v>0.260167</v>
      </c>
      <c r="I17" s="52">
        <v>0.63</v>
      </c>
      <c r="J17" s="50" t="s">
        <f>IF(F17&lt;0,"⚠️ NEGATIVO",IF(F17=0,"⬛ ZERO","✅ OK"))</f>
        <v>152</v>
      </c>
    </row>
    <row r="18" spans="1:10" ht="16.5" customHeight="1" x14ac:dyDescent="0.15">
      <c r="A18" s="50" t="s">
        <v>63</v>
      </c>
      <c r="B18" s="50" t="s">
        <v>16</v>
      </c>
      <c r="C18" s="76">
        <v>0.0</v>
      </c>
      <c r="D18" s="51">
        <v>0.0</v>
      </c>
      <c r="E18" s="51">
        <v>0.0</v>
      </c>
      <c r="F18" s="51">
        <f>C18+D18-E18</f>
        <v>0</v>
      </c>
      <c r="G18" s="53">
        <f>F18*H18</f>
        <v>0</v>
      </c>
      <c r="H18" s="52">
        <v>0.02</v>
      </c>
      <c r="I18" s="52">
        <v>0.06</v>
      </c>
      <c r="J18" s="50" t="s">
        <f>IF(F18&lt;0,"⚠️ NEGATIVO",IF(F18=0,"⬛ ZERO","✅ OK"))</f>
        <v>151</v>
      </c>
    </row>
    <row r="19" spans="1:10" ht="16.5" customHeight="1" x14ac:dyDescent="0.15">
      <c r="A19" s="50" t="s">
        <v>64</v>
      </c>
      <c r="B19" s="50" t="s">
        <v>16</v>
      </c>
      <c r="C19" s="76">
        <v>0.0</v>
      </c>
      <c r="D19" s="51">
        <v>0.0</v>
      </c>
      <c r="E19" s="51">
        <v>0.0</v>
      </c>
      <c r="F19" s="51">
        <f>C19+D19-E19</f>
        <v>0</v>
      </c>
      <c r="G19" s="53">
        <f>F19*H19</f>
        <v>0</v>
      </c>
      <c r="H19" s="52">
        <v>0.02</v>
      </c>
      <c r="I19" s="52">
        <v>0.06</v>
      </c>
      <c r="J19" s="50" t="s">
        <f>IF(F19&lt;0,"⚠️ NEGATIVO",IF(F19=0,"⬛ ZERO","✅ OK"))</f>
        <v>151</v>
      </c>
    </row>
    <row r="20" spans="1:10" ht="16.5" customHeight="1" x14ac:dyDescent="0.15">
      <c r="A20" s="55" t="s">
        <v>65</v>
      </c>
      <c r="B20" s="55" t="s">
        <v>17</v>
      </c>
      <c r="C20" s="77">
        <v>0.0</v>
      </c>
      <c r="D20" s="56">
        <v>53000.0</v>
      </c>
      <c r="E20" s="56">
        <v>47000.0</v>
      </c>
      <c r="F20" s="56">
        <f>C20+D20-E20</f>
        <v>6000</v>
      </c>
      <c r="G20" s="58">
        <f>F20*H20</f>
        <v>840.39</v>
      </c>
      <c r="H20" s="57">
        <v>0.140065</v>
      </c>
      <c r="I20" s="57">
        <v>0.357</v>
      </c>
      <c r="J20" s="55" t="s">
        <f>IF(F20&lt;0,"⚠️ NEGATIVO",IF(F20=0,"⬛ ZERO","✅ OK"))</f>
        <v>152</v>
      </c>
    </row>
    <row r="21" spans="1:10" ht="16.5" customHeight="1" x14ac:dyDescent="0.15">
      <c r="A21" s="60" t="s">
        <v>66</v>
      </c>
      <c r="B21" s="60" t="s">
        <v>18</v>
      </c>
      <c r="C21" s="78">
        <v>0.0</v>
      </c>
      <c r="D21" s="61">
        <v>2000.0</v>
      </c>
      <c r="E21" s="61">
        <v>1500.0</v>
      </c>
      <c r="F21" s="61">
        <f>C21+D21-E21</f>
        <v>500</v>
      </c>
      <c r="G21" s="63">
        <f>F21*H21</f>
        <v>284.1975</v>
      </c>
      <c r="H21" s="62">
        <v>0.568395</v>
      </c>
      <c r="I21" s="62">
        <v>1.31</v>
      </c>
      <c r="J21" s="60" t="s">
        <f>IF(F21&lt;0,"⚠️ NEGATIVO",IF(F21=0,"⬛ ZERO","✅ OK"))</f>
        <v>152</v>
      </c>
    </row>
    <row r="22" spans="1:10" ht="16.5" customHeight="1" x14ac:dyDescent="0.15">
      <c r="A22" s="60" t="s">
        <v>67</v>
      </c>
      <c r="B22" s="60" t="s">
        <v>18</v>
      </c>
      <c r="C22" s="78">
        <v>0.0</v>
      </c>
      <c r="D22" s="61">
        <v>1000.0</v>
      </c>
      <c r="E22" s="61">
        <v>0.0</v>
      </c>
      <c r="F22" s="61">
        <f>C22+D22-E22</f>
        <v>1000</v>
      </c>
      <c r="G22" s="63">
        <f>F22*H22</f>
        <v>554.0730000000001</v>
      </c>
      <c r="H22" s="62">
        <v>0.554073</v>
      </c>
      <c r="I22" s="62">
        <v>1.16</v>
      </c>
      <c r="J22" s="60" t="s">
        <f>IF(F22&lt;0,"⚠️ NEGATIVO",IF(F22=0,"⬛ ZERO","✅ OK"))</f>
        <v>152</v>
      </c>
    </row>
    <row r="23" spans="1:10" ht="16.5" customHeight="1" x14ac:dyDescent="0.15">
      <c r="A23" s="60" t="s">
        <v>68</v>
      </c>
      <c r="B23" s="60" t="s">
        <v>18</v>
      </c>
      <c r="C23" s="78">
        <v>0.0</v>
      </c>
      <c r="D23" s="61">
        <v>0.0</v>
      </c>
      <c r="E23" s="61">
        <v>500.0</v>
      </c>
      <c r="F23" s="61">
        <f>C23+D23-E23</f>
        <v>-500</v>
      </c>
      <c r="G23" s="63">
        <f>F23*H23</f>
        <v>-200.952</v>
      </c>
      <c r="H23" s="62">
        <v>0.401904</v>
      </c>
      <c r="I23" s="62">
        <v>0.95</v>
      </c>
      <c r="J23" s="60" t="s">
        <f>IF(F23&lt;0,"⚠️ NEGATIVO",IF(F23=0,"⬛ ZERO","✅ OK"))</f>
        <v>153</v>
      </c>
    </row>
    <row r="24" spans="1:10" ht="16.5" customHeight="1" x14ac:dyDescent="0.15">
      <c r="A24" s="60" t="s">
        <v>69</v>
      </c>
      <c r="B24" s="60" t="s">
        <v>18</v>
      </c>
      <c r="C24" s="78">
        <v>0.0</v>
      </c>
      <c r="D24" s="61">
        <v>2000.0</v>
      </c>
      <c r="E24" s="61">
        <v>500.0</v>
      </c>
      <c r="F24" s="61">
        <f>C24+D24-E24</f>
        <v>1500</v>
      </c>
      <c r="G24" s="63">
        <f>F24*H24</f>
        <v>831.1095</v>
      </c>
      <c r="H24" s="62">
        <v>0.554073</v>
      </c>
      <c r="I24" s="62">
        <v>1.252</v>
      </c>
      <c r="J24" s="60" t="s">
        <f>IF(F24&lt;0,"⚠️ NEGATIVO",IF(F24=0,"⬛ ZERO","✅ OK"))</f>
        <v>152</v>
      </c>
    </row>
    <row r="25" spans="1:10" ht="16.5" customHeight="1" x14ac:dyDescent="0.15">
      <c r="A25" s="60" t="s">
        <v>70</v>
      </c>
      <c r="B25" s="60" t="s">
        <v>18</v>
      </c>
      <c r="C25" s="78">
        <v>0.0</v>
      </c>
      <c r="D25" s="61">
        <v>5000.0</v>
      </c>
      <c r="E25" s="61">
        <v>0.0</v>
      </c>
      <c r="F25" s="61">
        <f>C25+D25-E25</f>
        <v>5000</v>
      </c>
      <c r="G25" s="63">
        <f>F25*H25</f>
        <v>2042.065</v>
      </c>
      <c r="H25" s="62">
        <v>0.408413</v>
      </c>
      <c r="I25" s="62">
        <v>1.202</v>
      </c>
      <c r="J25" s="60" t="s">
        <f>IF(F25&lt;0,"⚠️ NEGATIVO",IF(F25=0,"⬛ ZERO","✅ OK"))</f>
        <v>152</v>
      </c>
    </row>
    <row r="26" spans="1:10" ht="16.5" customHeight="1" x14ac:dyDescent="0.15">
      <c r="A26" s="60" t="s">
        <v>71</v>
      </c>
      <c r="B26" s="60" t="s">
        <v>18</v>
      </c>
      <c r="C26" s="78">
        <v>0.0</v>
      </c>
      <c r="D26" s="61">
        <v>2000.0</v>
      </c>
      <c r="E26" s="61">
        <v>0.0</v>
      </c>
      <c r="F26" s="61">
        <f>C26+D26-E26</f>
        <v>2000</v>
      </c>
      <c r="G26" s="63">
        <f>F26*H26</f>
        <v>1146.3380000000002</v>
      </c>
      <c r="H26" s="62">
        <v>0.573169</v>
      </c>
      <c r="I26" s="62">
        <v>1.312</v>
      </c>
      <c r="J26" s="60" t="s">
        <f>IF(F26&lt;0,"⚠️ NEGATIVO",IF(F26=0,"⬛ ZERO","✅ OK"))</f>
        <v>152</v>
      </c>
    </row>
    <row r="27" spans="1:10" ht="16.5" customHeight="1" x14ac:dyDescent="0.15">
      <c r="A27" s="60" t="s">
        <v>72</v>
      </c>
      <c r="B27" s="60" t="s">
        <v>18</v>
      </c>
      <c r="C27" s="78">
        <v>0.0</v>
      </c>
      <c r="D27" s="61">
        <v>0.0</v>
      </c>
      <c r="E27" s="61">
        <v>0.0</v>
      </c>
      <c r="F27" s="61">
        <f>C27+D27-E27</f>
        <v>0</v>
      </c>
      <c r="G27" s="63">
        <f>F27*H27</f>
        <v>0</v>
      </c>
      <c r="H27" s="62">
        <v>0.428147</v>
      </c>
      <c r="I27" s="62">
        <v>0.92</v>
      </c>
      <c r="J27" s="60" t="s">
        <f>IF(F27&lt;0,"⚠️ NEGATIVO",IF(F27=0,"⬛ ZERO","✅ OK"))</f>
        <v>151</v>
      </c>
    </row>
    <row r="28" spans="1:10" ht="16.5" customHeight="1" x14ac:dyDescent="0.15">
      <c r="A28" s="65" t="s">
        <v>73</v>
      </c>
      <c r="B28" s="65" t="s">
        <v>19</v>
      </c>
      <c r="C28" s="79">
        <v>0.0</v>
      </c>
      <c r="D28" s="66">
        <v>5000.0</v>
      </c>
      <c r="E28" s="66">
        <v>7500.0</v>
      </c>
      <c r="F28" s="66">
        <f>C28+D28-E28</f>
        <v>-2500</v>
      </c>
      <c r="G28" s="68">
        <f>F28*H28</f>
        <v>-365.32500000000005</v>
      </c>
      <c r="H28" s="67">
        <v>0.14613</v>
      </c>
      <c r="I28" s="67">
        <v>0.129</v>
      </c>
      <c r="J28" s="65" t="s">
        <f>IF(F28&lt;0,"⚠️ NEGATIVO",IF(F28=0,"⬛ ZERO","✅ OK"))</f>
        <v>153</v>
      </c>
    </row>
    <row r="29" spans="1:10" ht="16.5" customHeight="1" x14ac:dyDescent="0.15">
      <c r="A29" s="65" t="s">
        <v>74</v>
      </c>
      <c r="B29" s="65" t="s">
        <v>19</v>
      </c>
      <c r="C29" s="79">
        <v>0.0</v>
      </c>
      <c r="D29" s="66">
        <v>5000.0</v>
      </c>
      <c r="E29" s="66">
        <v>7000.0</v>
      </c>
      <c r="F29" s="66">
        <f>C29+D29-E29</f>
        <v>-2000</v>
      </c>
      <c r="G29" s="68">
        <f>F29*H29</f>
        <v>-27.060000000000002</v>
      </c>
      <c r="H29" s="67">
        <v>0.01353</v>
      </c>
      <c r="I29" s="67">
        <v>0.035</v>
      </c>
      <c r="J29" s="65" t="s">
        <f>IF(F29&lt;0,"⚠️ NEGATIVO",IF(F29=0,"⬛ ZERO","✅ OK"))</f>
        <v>153</v>
      </c>
    </row>
    <row r="30" spans="1:10" ht="16.5" customHeight="1" x14ac:dyDescent="0.15">
      <c r="A30" s="65" t="s">
        <v>75</v>
      </c>
      <c r="B30" s="65" t="s">
        <v>19</v>
      </c>
      <c r="C30" s="79">
        <v>0.0</v>
      </c>
      <c r="D30" s="66">
        <v>9000.0</v>
      </c>
      <c r="E30" s="66">
        <v>3000.0</v>
      </c>
      <c r="F30" s="66">
        <f>C30+D30-E30</f>
        <v>6000</v>
      </c>
      <c r="G30" s="68">
        <f>F30*H30</f>
        <v>833.94</v>
      </c>
      <c r="H30" s="67">
        <v>0.13899</v>
      </c>
      <c r="I30" s="67">
        <v>0.549</v>
      </c>
      <c r="J30" s="65" t="s">
        <f>IF(F30&lt;0,"⚠️ NEGATIVO",IF(F30=0,"⬛ ZERO","✅ OK"))</f>
        <v>152</v>
      </c>
    </row>
    <row r="31" spans="1:10" ht="16.5" customHeight="1" x14ac:dyDescent="0.15">
      <c r="A31" s="65" t="s">
        <v>76</v>
      </c>
      <c r="B31" s="65" t="s">
        <v>19</v>
      </c>
      <c r="C31" s="79">
        <v>0.0</v>
      </c>
      <c r="D31" s="66">
        <v>9000.0</v>
      </c>
      <c r="E31" s="66">
        <v>2700.0</v>
      </c>
      <c r="F31" s="66">
        <f>C31+D31-E31</f>
        <v>6300</v>
      </c>
      <c r="G31" s="68">
        <f>F31*H31</f>
        <v>875.6370000000001</v>
      </c>
      <c r="H31" s="67">
        <v>0.13899</v>
      </c>
      <c r="I31" s="67">
        <v>0.355</v>
      </c>
      <c r="J31" s="65" t="s">
        <f>IF(F31&lt;0,"⚠️ NEGATIVO",IF(F31=0,"⬛ ZERO","✅ OK"))</f>
        <v>152</v>
      </c>
    </row>
    <row r="32" spans="1:10" ht="16.5" customHeight="1" x14ac:dyDescent="0.15">
      <c r="A32" s="65" t="s">
        <v>77</v>
      </c>
      <c r="B32" s="65" t="s">
        <v>19</v>
      </c>
      <c r="C32" s="79">
        <v>0.0</v>
      </c>
      <c r="D32" s="66">
        <v>9000.0</v>
      </c>
      <c r="E32" s="66">
        <v>2080.0</v>
      </c>
      <c r="F32" s="66">
        <f>C32+D32-E32</f>
        <v>6920</v>
      </c>
      <c r="G32" s="68">
        <f>F32*H32</f>
        <v>723.486</v>
      </c>
      <c r="H32" s="67">
        <v>0.10455</v>
      </c>
      <c r="I32" s="67">
        <v>0.355</v>
      </c>
      <c r="J32" s="65" t="s">
        <f>IF(F32&lt;0,"⚠️ NEGATIVO",IF(F32=0,"⬛ ZERO","✅ OK"))</f>
        <v>152</v>
      </c>
    </row>
    <row r="33" spans="1:10" ht="16.5" customHeight="1" x14ac:dyDescent="0.15">
      <c r="A33" s="65" t="s">
        <v>78</v>
      </c>
      <c r="B33" s="65" t="s">
        <v>19</v>
      </c>
      <c r="C33" s="79">
        <v>0.0</v>
      </c>
      <c r="D33" s="66">
        <v>500.0</v>
      </c>
      <c r="E33" s="66">
        <v>500.0</v>
      </c>
      <c r="F33" s="66">
        <f>C33+D33-E33</f>
        <v>0</v>
      </c>
      <c r="G33" s="68">
        <f>F33*H33</f>
        <v>0</v>
      </c>
      <c r="H33" s="67">
        <v>1.44305</v>
      </c>
      <c r="I33" s="67">
        <v>1.6</v>
      </c>
      <c r="J33" s="65" t="s">
        <f>IF(F33&lt;0,"⚠️ NEGATIVO",IF(F33=0,"⬛ ZERO","✅ OK"))</f>
        <v>151</v>
      </c>
    </row>
    <row r="34" spans="1:10" ht="16.5" customHeight="1" x14ac:dyDescent="0.15">
      <c r="A34" s="65" t="s">
        <v>79</v>
      </c>
      <c r="B34" s="65" t="s">
        <v>19</v>
      </c>
      <c r="C34" s="79">
        <v>0.0</v>
      </c>
      <c r="D34" s="66">
        <v>500.0</v>
      </c>
      <c r="E34" s="66">
        <v>500.0</v>
      </c>
      <c r="F34" s="66">
        <f>C34+D34-E34</f>
        <v>0</v>
      </c>
      <c r="G34" s="68">
        <f>F34*H34</f>
        <v>0</v>
      </c>
      <c r="H34" s="67">
        <v>0.10845</v>
      </c>
      <c r="I34" s="67">
        <v>0.37</v>
      </c>
      <c r="J34" s="65" t="s">
        <f>IF(F34&lt;0,"⚠️ NEGATIVO",IF(F34=0,"⬛ ZERO","✅ OK"))</f>
        <v>151</v>
      </c>
    </row>
    <row r="35" spans="1:10" ht="16.5" customHeight="1" x14ac:dyDescent="0.15">
      <c r="A35" s="70" t="s">
        <v>20</v>
      </c>
      <c r="B35" s="70" t="s">
        <v>20</v>
      </c>
      <c r="C35" s="80">
        <v>0.0</v>
      </c>
      <c r="D35" s="71">
        <v>72000.0</v>
      </c>
      <c r="E35" s="71">
        <v>99000.0</v>
      </c>
      <c r="F35" s="71">
        <f>C35+D35-E35</f>
        <v>-27000</v>
      </c>
      <c r="G35" s="73">
        <f>F35*H35</f>
        <v>-1890.0000000000002</v>
      </c>
      <c r="H35" s="72">
        <v>0.07</v>
      </c>
      <c r="I35" s="72">
        <v>0.07</v>
      </c>
      <c r="J35" s="70" t="s">
        <f>IF(F35&lt;0,"⚠️ NEGATIVO",IF(F35=0,"⬛ ZERO","✅ OK"))</f>
        <v>153</v>
      </c>
    </row>
    <row r="36" spans="1:7" ht="19.5" customHeight="1" x14ac:dyDescent="0.15">
      <c r="A36" s="32" t="s">
        <v>39</v>
      </c>
      <c r="D36" s="81">
        <f>SUM(D4:D35)</f>
        <v>392000</v>
      </c>
      <c r="E36" s="81">
        <f>SUM(E4:E35)</f>
        <v>341380</v>
      </c>
      <c r="F36" s="81">
        <f>SUM(F4:F35)</f>
        <v>50620</v>
      </c>
      <c r="G36" s="82">
        <f>SUM(G4:G35)</f>
        <v>14959.672000000002</v>
      </c>
    </row>
  </sheetData>
  <mergeCells count="1">
    <mergeCell ref="A2:J2"/>
  </mergeCells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B3C11"/>
    <outlinePr showOutlineSymbols="1"/>
  </sheetPr>
  <dimension ref="A1:K27"/>
  <sheetViews>
    <sheetView zoomScaleNormal="100" topLeftCell="A1" workbookViewId="0">
      <pane ySplit="3" topLeftCell="A4" activePane="bottomLeft" state="frozen"/>
      <selection activeCell="A1" activeCellId="0" sqref="A1"/>
      <selection pane="bottomLeft" activeCell="A1" activeCellId="0" sqref="A1"/>
    </sheetView>
  </sheetViews>
  <sheetFormatPr defaultRowHeight="15.0" defaultColWidth="8.666666666666666" x14ac:dyDescent="0.15"/>
  <cols>
    <col min="1" max="1" width="12.0" customWidth="1" style="1"/>
    <col min="2" max="4" width="14.0" customWidth="1" style="1"/>
    <col min="5" max="7" width="12.0" customWidth="1" style="1"/>
    <col min="8" max="9" width="15.0" customWidth="1" style="1"/>
    <col min="10" max="10" width="14.0" customWidth="1" style="1"/>
    <col min="11" max="11" width="18.0" customWidth="1" style="1"/>
  </cols>
  <sheetData>
    <row r="1" spans="1:1" ht="7.5" customHeight="1" x14ac:dyDescent="0.15"/>
    <row r="2" spans="1:11" ht="24.0" customHeight="1" x14ac:dyDescent="0.15">
      <c r="A2" s="189" t="s">
        <v>154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1" ht="19.5" customHeight="1" x14ac:dyDescent="0.15">
      <c r="A3" s="7" t="s">
        <v>81</v>
      </c>
      <c r="B3" s="7" t="s">
        <v>40</v>
      </c>
      <c r="C3" s="7" t="s">
        <v>9</v>
      </c>
      <c r="D3" s="7" t="s">
        <v>155</v>
      </c>
      <c r="E3" s="7" t="s">
        <v>156</v>
      </c>
      <c r="F3" s="7" t="s">
        <v>157</v>
      </c>
      <c r="G3" s="7" t="s">
        <v>158</v>
      </c>
      <c r="H3" s="7" t="s">
        <v>159</v>
      </c>
      <c r="I3" s="7" t="s">
        <v>160</v>
      </c>
      <c r="J3" s="7" t="s">
        <v>161</v>
      </c>
      <c r="K3" s="7" t="s">
        <v>87</v>
      </c>
    </row>
    <row r="4" spans="1:11" ht="16.5" customHeight="1" x14ac:dyDescent="0.15">
      <c r="A4" s="49" t="s">
        <v>162</v>
      </c>
      <c r="B4" s="50" t="s">
        <v>53</v>
      </c>
      <c r="C4" s="50" t="s">
        <v>16</v>
      </c>
      <c r="D4" s="51">
        <v>46000.0</v>
      </c>
      <c r="E4" s="83">
        <v>45.83</v>
      </c>
      <c r="F4" s="83">
        <v>45.83</v>
      </c>
      <c r="G4" s="83">
        <v>0.0</v>
      </c>
      <c r="H4" s="53">
        <f>D4*0.122962</f>
        <v>5656.252</v>
      </c>
      <c r="I4" s="53">
        <f>D4*0.307</f>
        <v>14122</v>
      </c>
      <c r="J4" s="50" t="s">
        <v>163</v>
      </c>
      <c r="K4" s="50"/>
    </row>
    <row r="5" spans="1:11" ht="16.5" customHeight="1" x14ac:dyDescent="0.15">
      <c r="A5" s="49" t="s">
        <v>162</v>
      </c>
      <c r="B5" s="50" t="s">
        <v>54</v>
      </c>
      <c r="C5" s="50" t="s">
        <v>16</v>
      </c>
      <c r="D5" s="51">
        <v>15900.0</v>
      </c>
      <c r="E5" s="83">
        <v>0.0</v>
      </c>
      <c r="F5" s="83">
        <v>72.0</v>
      </c>
      <c r="G5" s="83">
        <v>0.0</v>
      </c>
      <c r="H5" s="53">
        <f>D5*0.361915</f>
        <v>5754.4484999999995</v>
      </c>
      <c r="I5" s="53">
        <f>D5*0.774</f>
        <v>12306.6</v>
      </c>
      <c r="J5" s="50" t="s">
        <v>164</v>
      </c>
      <c r="K5" s="50"/>
    </row>
    <row r="6" spans="1:11" ht="16.5" customHeight="1" x14ac:dyDescent="0.15">
      <c r="A6" s="49" t="s">
        <v>162</v>
      </c>
      <c r="B6" s="50" t="s">
        <v>55</v>
      </c>
      <c r="C6" s="50" t="s">
        <v>16</v>
      </c>
      <c r="D6" s="51">
        <v>27600.0</v>
      </c>
      <c r="E6" s="83">
        <v>0.0</v>
      </c>
      <c r="F6" s="83">
        <v>110.0</v>
      </c>
      <c r="G6" s="83">
        <v>0.0</v>
      </c>
      <c r="H6" s="53">
        <f>D6*0.250207</f>
        <v>6905.7132</v>
      </c>
      <c r="I6" s="53">
        <f>D6*0.595</f>
        <v>16422</v>
      </c>
      <c r="J6" s="50" t="s">
        <v>164</v>
      </c>
      <c r="K6" s="50"/>
    </row>
    <row r="7" spans="1:11" ht="16.5" customHeight="1" x14ac:dyDescent="0.15">
      <c r="A7" s="49" t="s">
        <v>162</v>
      </c>
      <c r="B7" s="50" t="s">
        <v>56</v>
      </c>
      <c r="C7" s="50" t="s">
        <v>16</v>
      </c>
      <c r="D7" s="51">
        <v>900.0</v>
      </c>
      <c r="E7" s="83">
        <v>0.0</v>
      </c>
      <c r="F7" s="83">
        <v>10.91</v>
      </c>
      <c r="G7" s="83">
        <v>0.0</v>
      </c>
      <c r="H7" s="53">
        <f>D7*0.294137</f>
        <v>264.7233</v>
      </c>
      <c r="I7" s="53">
        <f>D7*0.63</f>
        <v>567</v>
      </c>
      <c r="J7" s="50" t="s">
        <v>163</v>
      </c>
      <c r="K7" s="50"/>
    </row>
    <row r="8" spans="1:11" ht="16.5" customHeight="1" x14ac:dyDescent="0.15">
      <c r="A8" s="49" t="s">
        <v>162</v>
      </c>
      <c r="B8" s="50" t="s">
        <v>57</v>
      </c>
      <c r="C8" s="50" t="s">
        <v>16</v>
      </c>
      <c r="D8" s="51">
        <v>23700.0</v>
      </c>
      <c r="E8" s="83">
        <v>0.0</v>
      </c>
      <c r="F8" s="83">
        <v>19.33</v>
      </c>
      <c r="G8" s="83">
        <v>0.0</v>
      </c>
      <c r="H8" s="53">
        <f>D8*0.260287</f>
        <v>6168.8018999999995</v>
      </c>
      <c r="I8" s="53">
        <f>D8*0.515</f>
        <v>12205.5</v>
      </c>
      <c r="J8" s="50" t="s">
        <v>163</v>
      </c>
      <c r="K8" s="50"/>
    </row>
    <row r="9" spans="1:11" ht="16.5" customHeight="1" x14ac:dyDescent="0.15">
      <c r="A9" s="49" t="s">
        <v>162</v>
      </c>
      <c r="B9" s="50" t="s">
        <v>59</v>
      </c>
      <c r="C9" s="50" t="s">
        <v>16</v>
      </c>
      <c r="D9" s="51">
        <v>1000.0</v>
      </c>
      <c r="E9" s="83">
        <v>0.0</v>
      </c>
      <c r="F9" s="83">
        <v>6.67</v>
      </c>
      <c r="G9" s="83">
        <v>0.0</v>
      </c>
      <c r="H9" s="53">
        <f>D9*0.20622</f>
        <v>206.22</v>
      </c>
      <c r="I9" s="53">
        <f>D9*0.481</f>
        <v>481</v>
      </c>
      <c r="J9" s="50" t="s">
        <v>164</v>
      </c>
      <c r="K9" s="50"/>
    </row>
    <row r="10" spans="1:11" ht="16.5" customHeight="1" x14ac:dyDescent="0.15">
      <c r="A10" s="49" t="s">
        <v>162</v>
      </c>
      <c r="B10" s="50" t="s">
        <v>61</v>
      </c>
      <c r="C10" s="50" t="s">
        <v>16</v>
      </c>
      <c r="D10" s="51">
        <v>2000.0</v>
      </c>
      <c r="E10" s="83">
        <v>0.0</v>
      </c>
      <c r="F10" s="83">
        <v>6.67</v>
      </c>
      <c r="G10" s="83">
        <v>0.0</v>
      </c>
      <c r="H10" s="53">
        <f>D10*0.260596</f>
        <v>521.192</v>
      </c>
      <c r="I10" s="53">
        <f>D10*0.595</f>
        <v>1190</v>
      </c>
      <c r="J10" s="50" t="s">
        <v>164</v>
      </c>
      <c r="K10" s="50"/>
    </row>
    <row r="11" spans="1:11" ht="16.5" customHeight="1" x14ac:dyDescent="0.15">
      <c r="A11" s="49" t="s">
        <v>162</v>
      </c>
      <c r="B11" s="50" t="s">
        <v>62</v>
      </c>
      <c r="C11" s="50" t="s">
        <v>16</v>
      </c>
      <c r="D11" s="51">
        <v>7300.0</v>
      </c>
      <c r="E11" s="83">
        <v>0.0</v>
      </c>
      <c r="F11" s="83">
        <v>43.33</v>
      </c>
      <c r="G11" s="83">
        <v>0.0</v>
      </c>
      <c r="H11" s="53">
        <f>D11*0.260167</f>
        <v>1899.2190999999998</v>
      </c>
      <c r="I11" s="53">
        <f>D11*0.63</f>
        <v>4599</v>
      </c>
      <c r="J11" s="50" t="s">
        <v>164</v>
      </c>
      <c r="K11" s="50"/>
    </row>
    <row r="12" spans="1:11" ht="16.5" customHeight="1" x14ac:dyDescent="0.15">
      <c r="A12" s="54" t="s">
        <v>162</v>
      </c>
      <c r="B12" s="55" t="s">
        <v>65</v>
      </c>
      <c r="C12" s="55" t="s">
        <v>17</v>
      </c>
      <c r="D12" s="56">
        <v>47000.0</v>
      </c>
      <c r="E12" s="84">
        <v>53.0</v>
      </c>
      <c r="F12" s="84">
        <v>28.04</v>
      </c>
      <c r="G12" s="84">
        <v>0.0</v>
      </c>
      <c r="H12" s="58">
        <f>D12*0.140065</f>
        <v>6583.054999999999</v>
      </c>
      <c r="I12" s="58">
        <f>D12*0.357</f>
        <v>16779</v>
      </c>
      <c r="J12" s="55" t="s">
        <v>165</v>
      </c>
      <c r="K12" s="55"/>
    </row>
    <row r="13" spans="1:11" ht="16.5" customHeight="1" x14ac:dyDescent="0.15">
      <c r="A13" s="59" t="s">
        <v>162</v>
      </c>
      <c r="B13" s="60" t="s">
        <v>66</v>
      </c>
      <c r="C13" s="60" t="s">
        <v>18</v>
      </c>
      <c r="D13" s="61">
        <v>1500.0</v>
      </c>
      <c r="E13" s="85">
        <v>2.0</v>
      </c>
      <c r="F13" s="85">
        <v>1.59</v>
      </c>
      <c r="G13" s="85">
        <v>0.0</v>
      </c>
      <c r="H13" s="63">
        <f>D13*0.568395</f>
        <v>852.5925</v>
      </c>
      <c r="I13" s="63">
        <f>D13*1.31</f>
        <v>1965</v>
      </c>
      <c r="J13" s="60" t="s">
        <v>163</v>
      </c>
      <c r="K13" s="60"/>
    </row>
    <row r="14" spans="1:11" ht="16.5" customHeight="1" x14ac:dyDescent="0.15">
      <c r="A14" s="59" t="s">
        <v>162</v>
      </c>
      <c r="B14" s="60" t="s">
        <v>67</v>
      </c>
      <c r="C14" s="60" t="s">
        <v>18</v>
      </c>
      <c r="D14" s="61">
        <v>0.0</v>
      </c>
      <c r="E14" s="85">
        <v>1.0</v>
      </c>
      <c r="F14" s="85">
        <v>0.79</v>
      </c>
      <c r="G14" s="85">
        <v>0.0</v>
      </c>
      <c r="H14" s="63">
        <f>D14*0.554073</f>
        <v>0</v>
      </c>
      <c r="I14" s="63">
        <f>D14*1.16</f>
        <v>0</v>
      </c>
      <c r="J14" s="60" t="s">
        <v>163</v>
      </c>
      <c r="K14" s="60"/>
    </row>
    <row r="15" spans="1:11" ht="16.5" customHeight="1" x14ac:dyDescent="0.15">
      <c r="A15" s="59" t="s">
        <v>162</v>
      </c>
      <c r="B15" s="60" t="s">
        <v>68</v>
      </c>
      <c r="C15" s="60" t="s">
        <v>18</v>
      </c>
      <c r="D15" s="61">
        <v>500.0</v>
      </c>
      <c r="E15" s="85">
        <v>0.0</v>
      </c>
      <c r="F15" s="85">
        <v>0.0</v>
      </c>
      <c r="G15" s="85">
        <v>0.0</v>
      </c>
      <c r="H15" s="63">
        <f>D15*0.401904</f>
        <v>200.952</v>
      </c>
      <c r="I15" s="63">
        <f>D15*0.95</f>
        <v>475</v>
      </c>
      <c r="J15" s="60" t="s">
        <v>163</v>
      </c>
      <c r="K15" s="60"/>
    </row>
    <row r="16" spans="1:11" ht="16.5" customHeight="1" x14ac:dyDescent="0.15">
      <c r="A16" s="59" t="s">
        <v>162</v>
      </c>
      <c r="B16" s="60" t="s">
        <v>69</v>
      </c>
      <c r="C16" s="60" t="s">
        <v>18</v>
      </c>
      <c r="D16" s="61">
        <v>500.0</v>
      </c>
      <c r="E16" s="85">
        <v>2.0</v>
      </c>
      <c r="F16" s="85">
        <v>1.59</v>
      </c>
      <c r="G16" s="85">
        <v>0.0</v>
      </c>
      <c r="H16" s="63">
        <f>D16*0.554073</f>
        <v>277.03650000000005</v>
      </c>
      <c r="I16" s="63">
        <f>D16*1.252</f>
        <v>626</v>
      </c>
      <c r="J16" s="60" t="s">
        <v>163</v>
      </c>
      <c r="K16" s="60"/>
    </row>
    <row r="17" spans="1:11" ht="16.5" customHeight="1" x14ac:dyDescent="0.15">
      <c r="A17" s="59" t="s">
        <v>162</v>
      </c>
      <c r="B17" s="60" t="s">
        <v>70</v>
      </c>
      <c r="C17" s="60" t="s">
        <v>18</v>
      </c>
      <c r="D17" s="61">
        <v>0.0</v>
      </c>
      <c r="E17" s="85">
        <v>4.17</v>
      </c>
      <c r="F17" s="85">
        <v>3.57</v>
      </c>
      <c r="G17" s="85">
        <v>0.0</v>
      </c>
      <c r="H17" s="63">
        <f>D17*0.408413</f>
        <v>0</v>
      </c>
      <c r="I17" s="63">
        <f>D17*1.202</f>
        <v>0</v>
      </c>
      <c r="J17" s="60" t="s">
        <v>163</v>
      </c>
      <c r="K17" s="60"/>
    </row>
    <row r="18" spans="1:11" ht="16.5" customHeight="1" x14ac:dyDescent="0.15">
      <c r="A18" s="59" t="s">
        <v>162</v>
      </c>
      <c r="B18" s="60" t="s">
        <v>71</v>
      </c>
      <c r="C18" s="60" t="s">
        <v>18</v>
      </c>
      <c r="D18" s="61">
        <v>0.0</v>
      </c>
      <c r="E18" s="85">
        <v>2.0</v>
      </c>
      <c r="F18" s="85">
        <v>1.59</v>
      </c>
      <c r="G18" s="85">
        <v>0.0</v>
      </c>
      <c r="H18" s="63">
        <f>D18*0.573169</f>
        <v>0</v>
      </c>
      <c r="I18" s="63">
        <f>D18*1.312</f>
        <v>0</v>
      </c>
      <c r="J18" s="60" t="s">
        <v>163</v>
      </c>
      <c r="K18" s="60"/>
    </row>
    <row r="19" spans="1:11" ht="16.5" customHeight="1" x14ac:dyDescent="0.15">
      <c r="A19" s="64" t="s">
        <v>162</v>
      </c>
      <c r="B19" s="65" t="s">
        <v>73</v>
      </c>
      <c r="C19" s="65" t="s">
        <v>19</v>
      </c>
      <c r="D19" s="66">
        <v>7500.0</v>
      </c>
      <c r="E19" s="86">
        <v>0.0</v>
      </c>
      <c r="F19" s="86">
        <v>33.33</v>
      </c>
      <c r="G19" s="86">
        <v>0.0</v>
      </c>
      <c r="H19" s="68">
        <f>D19*0.14613</f>
        <v>1095.9750000000001</v>
      </c>
      <c r="I19" s="68">
        <f>D19*0.129</f>
        <v>967.5</v>
      </c>
      <c r="J19" s="65" t="s">
        <v>166</v>
      </c>
      <c r="K19" s="65"/>
    </row>
    <row r="20" spans="1:11" ht="16.5" customHeight="1" x14ac:dyDescent="0.15">
      <c r="A20" s="64" t="s">
        <v>162</v>
      </c>
      <c r="B20" s="65" t="s">
        <v>74</v>
      </c>
      <c r="C20" s="65" t="s">
        <v>19</v>
      </c>
      <c r="D20" s="66">
        <v>7000.0</v>
      </c>
      <c r="E20" s="86">
        <v>0.0</v>
      </c>
      <c r="F20" s="86">
        <v>33.33</v>
      </c>
      <c r="G20" s="86">
        <v>0.0</v>
      </c>
      <c r="H20" s="68">
        <f>D20*0.01353</f>
        <v>94.71000000000001</v>
      </c>
      <c r="I20" s="68">
        <f>D20*0.035</f>
        <v>245.00000000000003</v>
      </c>
      <c r="J20" s="65" t="s">
        <v>166</v>
      </c>
      <c r="K20" s="65"/>
    </row>
    <row r="21" spans="1:11" ht="16.5" customHeight="1" x14ac:dyDescent="0.15">
      <c r="A21" s="64" t="s">
        <v>162</v>
      </c>
      <c r="B21" s="65" t="s">
        <v>75</v>
      </c>
      <c r="C21" s="65" t="s">
        <v>19</v>
      </c>
      <c r="D21" s="66">
        <v>3000.0</v>
      </c>
      <c r="E21" s="86">
        <v>0.0</v>
      </c>
      <c r="F21" s="86">
        <v>90.0</v>
      </c>
      <c r="G21" s="86">
        <v>0.0</v>
      </c>
      <c r="H21" s="68">
        <f>D21*0.13899</f>
        <v>416.97</v>
      </c>
      <c r="I21" s="68">
        <f>D21*0.549</f>
        <v>1647.0000000000002</v>
      </c>
      <c r="J21" s="65" t="s">
        <v>166</v>
      </c>
      <c r="K21" s="65"/>
    </row>
    <row r="22" spans="1:11" ht="16.5" customHeight="1" x14ac:dyDescent="0.15">
      <c r="A22" s="64" t="s">
        <v>162</v>
      </c>
      <c r="B22" s="65" t="s">
        <v>76</v>
      </c>
      <c r="C22" s="65" t="s">
        <v>19</v>
      </c>
      <c r="D22" s="66">
        <v>2700.0</v>
      </c>
      <c r="E22" s="86">
        <v>0.0</v>
      </c>
      <c r="F22" s="86">
        <v>90.0</v>
      </c>
      <c r="G22" s="86">
        <v>0.0</v>
      </c>
      <c r="H22" s="68">
        <f>D22*0.13899</f>
        <v>375.273</v>
      </c>
      <c r="I22" s="68">
        <f>D22*0.355</f>
        <v>958.5</v>
      </c>
      <c r="J22" s="65" t="s">
        <v>166</v>
      </c>
      <c r="K22" s="65"/>
    </row>
    <row r="23" spans="1:11" ht="16.5" customHeight="1" x14ac:dyDescent="0.15">
      <c r="A23" s="64" t="s">
        <v>162</v>
      </c>
      <c r="B23" s="65" t="s">
        <v>77</v>
      </c>
      <c r="C23" s="65" t="s">
        <v>19</v>
      </c>
      <c r="D23" s="66">
        <v>2080.0</v>
      </c>
      <c r="E23" s="86">
        <v>0.0</v>
      </c>
      <c r="F23" s="86">
        <v>30.0</v>
      </c>
      <c r="G23" s="86">
        <v>0.0</v>
      </c>
      <c r="H23" s="68">
        <f>D23*0.10455</f>
        <v>217.464</v>
      </c>
      <c r="I23" s="68">
        <f>D23*0.355</f>
        <v>738.4</v>
      </c>
      <c r="J23" s="65" t="s">
        <v>166</v>
      </c>
      <c r="K23" s="65"/>
    </row>
    <row r="24" spans="1:11" ht="16.5" customHeight="1" x14ac:dyDescent="0.15">
      <c r="A24" s="64" t="s">
        <v>162</v>
      </c>
      <c r="B24" s="65" t="s">
        <v>78</v>
      </c>
      <c r="C24" s="65" t="s">
        <v>19</v>
      </c>
      <c r="D24" s="66">
        <v>500.0</v>
      </c>
      <c r="E24" s="86">
        <v>0.0</v>
      </c>
      <c r="F24" s="86">
        <v>20.0</v>
      </c>
      <c r="G24" s="86">
        <v>0.0</v>
      </c>
      <c r="H24" s="68">
        <f>D24*1.44305</f>
        <v>721.525</v>
      </c>
      <c r="I24" s="68">
        <f>D24*1.6</f>
        <v>800</v>
      </c>
      <c r="J24" s="65" t="s">
        <v>166</v>
      </c>
      <c r="K24" s="65"/>
    </row>
    <row r="25" spans="1:11" ht="16.5" customHeight="1" x14ac:dyDescent="0.15">
      <c r="A25" s="64" t="s">
        <v>162</v>
      </c>
      <c r="B25" s="65" t="s">
        <v>79</v>
      </c>
      <c r="C25" s="65" t="s">
        <v>19</v>
      </c>
      <c r="D25" s="66">
        <v>500.0</v>
      </c>
      <c r="E25" s="86">
        <v>0.0</v>
      </c>
      <c r="F25" s="86">
        <v>5.0</v>
      </c>
      <c r="G25" s="86">
        <v>0.0</v>
      </c>
      <c r="H25" s="68">
        <f>D25*0.10845</f>
        <v>54.225</v>
      </c>
      <c r="I25" s="68">
        <f>D25*0.37</f>
        <v>185</v>
      </c>
      <c r="J25" s="65" t="s">
        <v>166</v>
      </c>
      <c r="K25" s="65"/>
    </row>
    <row r="26" spans="1:11" ht="16.5" customHeight="1" x14ac:dyDescent="0.15">
      <c r="A26" s="69" t="s">
        <v>162</v>
      </c>
      <c r="B26" s="70" t="s">
        <v>20</v>
      </c>
      <c r="C26" s="70" t="s">
        <v>20</v>
      </c>
      <c r="D26" s="71">
        <v>99000.0</v>
      </c>
      <c r="E26" s="87">
        <v>0.0</v>
      </c>
      <c r="F26" s="87">
        <v>0.0</v>
      </c>
      <c r="G26" s="87">
        <v>0.0</v>
      </c>
      <c r="H26" s="73">
        <f>D26*0.07</f>
        <v>6930.000000000001</v>
      </c>
      <c r="I26" s="73">
        <f>D26*0.07</f>
        <v>6930.000000000001</v>
      </c>
      <c r="J26" s="70"/>
      <c r="K26" s="70"/>
    </row>
    <row r="27" spans="1:9" ht="19.5" customHeight="1" x14ac:dyDescent="0.15">
      <c r="A27" s="32" t="s">
        <v>39</v>
      </c>
      <c r="D27" s="81">
        <f>SUM(D4:D26)</f>
        <v>296180</v>
      </c>
      <c r="E27" s="88">
        <f>SUM(E4:E26)</f>
        <v>110</v>
      </c>
      <c r="F27" s="88">
        <f>SUM(F4:F26)</f>
        <v>653.5699999999999</v>
      </c>
      <c r="G27" s="88">
        <f>SUM(G4:G26)</f>
        <v>0</v>
      </c>
      <c r="H27" s="82">
        <f>SUM(H4:H26)</f>
        <v>45196.34799999999</v>
      </c>
      <c r="I27" s="82">
        <f>SUM(I4:I26)</f>
        <v>94209.5</v>
      </c>
    </row>
  </sheetData>
  <mergeCells count="1">
    <mergeCell ref="A2:K2"/>
  </mergeCells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6A0DAD"/>
    <outlinePr showOutlineSymbols="1"/>
  </sheetPr>
  <dimension ref="A1:K36"/>
  <sheetViews>
    <sheetView zoomScaleNormal="100" topLeftCell="A1" workbookViewId="0">
      <pane ySplit="3" topLeftCell="A4" activePane="bottomLeft" state="frozen"/>
      <selection activeCell="A1" activeCellId="0" sqref="A1"/>
      <selection pane="bottomLeft" activeCell="A1" activeCellId="0" sqref="A1"/>
    </sheetView>
  </sheetViews>
  <sheetFormatPr defaultRowHeight="15.0" defaultColWidth="8.666666666666666" x14ac:dyDescent="0.15"/>
  <cols>
    <col min="1" max="5" width="14.0" customWidth="1" style="1"/>
    <col min="6" max="8" width="15.0" customWidth="1" style="1"/>
    <col min="9" max="9" width="12.0" customWidth="1" style="1"/>
    <col min="10" max="10" width="14.0" customWidth="1" style="1"/>
    <col min="11" max="11" width="12.0" customWidth="1" style="1"/>
  </cols>
  <sheetData>
    <row r="1" spans="1:1" ht="7.5" customHeight="1" x14ac:dyDescent="0.15"/>
    <row r="2" spans="1:11" ht="24.0" customHeight="1" x14ac:dyDescent="0.15">
      <c r="A2" s="192" t="s">
        <v>167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</row>
    <row r="3" spans="1:11" ht="19.5" customHeight="1" x14ac:dyDescent="0.15">
      <c r="A3" s="7" t="s">
        <v>40</v>
      </c>
      <c r="B3" s="7" t="s">
        <v>9</v>
      </c>
      <c r="C3" s="7" t="s">
        <v>168</v>
      </c>
      <c r="D3" s="7" t="s">
        <v>44</v>
      </c>
      <c r="E3" s="7" t="s">
        <v>45</v>
      </c>
      <c r="F3" s="7" t="s">
        <v>169</v>
      </c>
      <c r="G3" s="7" t="s">
        <v>170</v>
      </c>
      <c r="H3" s="7" t="s">
        <v>47</v>
      </c>
      <c r="I3" s="7" t="s">
        <v>15</v>
      </c>
      <c r="J3" s="7" t="s">
        <v>171</v>
      </c>
      <c r="K3" s="7" t="s">
        <v>172</v>
      </c>
    </row>
    <row r="4" spans="1:11" ht="16.5" customHeight="1" x14ac:dyDescent="0.15">
      <c r="A4" s="50" t="s">
        <v>49</v>
      </c>
      <c r="B4" s="50" t="s">
        <v>16</v>
      </c>
      <c r="C4" s="51">
        <v>1000.0</v>
      </c>
      <c r="D4" s="52">
        <v>0.007308</v>
      </c>
      <c r="E4" s="52">
        <v>0.03</v>
      </c>
      <c r="F4" s="53">
        <f>C4*D4</f>
        <v>7.308</v>
      </c>
      <c r="G4" s="53">
        <f>C4*E4</f>
        <v>30</v>
      </c>
      <c r="H4" s="53">
        <f>G4-F4</f>
        <v>22.692</v>
      </c>
      <c r="I4" s="90">
        <f>_xlfn.IFERROR(H4/G4,0)</f>
        <v>0.7564</v>
      </c>
      <c r="J4" s="52">
        <v>0.007308</v>
      </c>
      <c r="K4" s="90">
        <f>_xlfn.IFERROR(D4/E4,0)</f>
        <v>0.2436</v>
      </c>
    </row>
    <row r="5" spans="1:11" ht="16.5" customHeight="1" x14ac:dyDescent="0.15">
      <c r="A5" s="50" t="s">
        <v>50</v>
      </c>
      <c r="B5" s="50" t="s">
        <v>16</v>
      </c>
      <c r="C5" s="51">
        <v>2000.0</v>
      </c>
      <c r="D5" s="52">
        <v>0.16846</v>
      </c>
      <c r="E5" s="52">
        <v>0.365</v>
      </c>
      <c r="F5" s="53">
        <f>C5*D5</f>
        <v>336.92</v>
      </c>
      <c r="G5" s="53">
        <f>C5*E5</f>
        <v>730</v>
      </c>
      <c r="H5" s="53">
        <f>G5-F5</f>
        <v>393.08</v>
      </c>
      <c r="I5" s="90">
        <f>_xlfn.IFERROR(H5/G5,0)</f>
        <v>0.5384657534246575</v>
      </c>
      <c r="J5" s="52">
        <v>0.16846</v>
      </c>
      <c r="K5" s="90">
        <f>_xlfn.IFERROR(D5/E5,0)</f>
        <v>0.4615342465753425</v>
      </c>
    </row>
    <row r="6" spans="1:11" ht="16.5" customHeight="1" x14ac:dyDescent="0.15">
      <c r="A6" s="50" t="s">
        <v>51</v>
      </c>
      <c r="B6" s="50" t="s">
        <v>16</v>
      </c>
      <c r="C6" s="51">
        <v>15000.0</v>
      </c>
      <c r="D6" s="52">
        <v>0.17256</v>
      </c>
      <c r="E6" s="52">
        <v>0.365</v>
      </c>
      <c r="F6" s="53">
        <f>C6*D6</f>
        <v>2588.4</v>
      </c>
      <c r="G6" s="53">
        <f>C6*E6</f>
        <v>5475</v>
      </c>
      <c r="H6" s="53">
        <f>G6-F6</f>
        <v>2886.6</v>
      </c>
      <c r="I6" s="90">
        <f>_xlfn.IFERROR(H6/G6,0)</f>
        <v>0.5272328767123288</v>
      </c>
      <c r="J6" s="52">
        <v>0.17256</v>
      </c>
      <c r="K6" s="90">
        <f>_xlfn.IFERROR(D6/E6,0)</f>
        <v>0.47276712328767123</v>
      </c>
    </row>
    <row r="7" spans="1:11" ht="16.5" customHeight="1" x14ac:dyDescent="0.15">
      <c r="A7" s="50" t="s">
        <v>52</v>
      </c>
      <c r="B7" s="50" t="s">
        <v>16</v>
      </c>
      <c r="C7" s="51">
        <v>25200.0</v>
      </c>
      <c r="D7" s="52">
        <v>0.10528</v>
      </c>
      <c r="E7" s="52">
        <v>0.205</v>
      </c>
      <c r="F7" s="53">
        <f>C7*D7</f>
        <v>2653.056</v>
      </c>
      <c r="G7" s="53">
        <f>C7*E7</f>
        <v>5166</v>
      </c>
      <c r="H7" s="53">
        <f>G7-F7</f>
        <v>2512.944</v>
      </c>
      <c r="I7" s="90">
        <f>_xlfn.IFERROR(H7/G7,0)</f>
        <v>0.4864390243902439</v>
      </c>
      <c r="J7" s="52">
        <v>0.10528</v>
      </c>
      <c r="K7" s="90">
        <f>_xlfn.IFERROR(D7/E7,0)</f>
        <v>0.5135609756097561</v>
      </c>
    </row>
    <row r="8" spans="1:11" ht="16.5" customHeight="1" x14ac:dyDescent="0.15">
      <c r="A8" s="50" t="s">
        <v>53</v>
      </c>
      <c r="B8" s="50" t="s">
        <v>16</v>
      </c>
      <c r="C8" s="51">
        <v>46000.0</v>
      </c>
      <c r="D8" s="52">
        <v>0.122962</v>
      </c>
      <c r="E8" s="52">
        <v>0.307</v>
      </c>
      <c r="F8" s="53">
        <f>C8*D8</f>
        <v>5656.252</v>
      </c>
      <c r="G8" s="53">
        <f>C8*E8</f>
        <v>14122</v>
      </c>
      <c r="H8" s="53">
        <f>G8-F8</f>
        <v>8465.748</v>
      </c>
      <c r="I8" s="90">
        <f>_xlfn.IFERROR(H8/G8,0)</f>
        <v>0.599472312703583</v>
      </c>
      <c r="J8" s="52">
        <v>0.122962</v>
      </c>
      <c r="K8" s="90">
        <f>_xlfn.IFERROR(D8/E8,0)</f>
        <v>0.40052768729641697</v>
      </c>
    </row>
    <row r="9" spans="1:11" ht="16.5" customHeight="1" x14ac:dyDescent="0.15">
      <c r="A9" s="50" t="s">
        <v>54</v>
      </c>
      <c r="B9" s="50" t="s">
        <v>16</v>
      </c>
      <c r="C9" s="51">
        <v>15900.0</v>
      </c>
      <c r="D9" s="52">
        <v>0.361915</v>
      </c>
      <c r="E9" s="52">
        <v>0.774</v>
      </c>
      <c r="F9" s="53">
        <f>C9*D9</f>
        <v>5754.4484999999995</v>
      </c>
      <c r="G9" s="53">
        <f>C9*E9</f>
        <v>12306.6</v>
      </c>
      <c r="H9" s="53">
        <f>G9-F9</f>
        <v>6552.151500000001</v>
      </c>
      <c r="I9" s="90">
        <f>_xlfn.IFERROR(H9/G9,0)</f>
        <v>0.5324095607235143</v>
      </c>
      <c r="J9" s="52">
        <v>0.361915</v>
      </c>
      <c r="K9" s="90">
        <f>_xlfn.IFERROR(D9/E9,0)</f>
        <v>0.46759043927648575</v>
      </c>
    </row>
    <row r="10" spans="1:11" ht="16.5" customHeight="1" x14ac:dyDescent="0.15">
      <c r="A10" s="50" t="s">
        <v>55</v>
      </c>
      <c r="B10" s="50" t="s">
        <v>16</v>
      </c>
      <c r="C10" s="51">
        <v>27600.0</v>
      </c>
      <c r="D10" s="52">
        <v>0.250207</v>
      </c>
      <c r="E10" s="52">
        <v>0.595</v>
      </c>
      <c r="F10" s="53">
        <f>C10*D10</f>
        <v>6905.7132</v>
      </c>
      <c r="G10" s="53">
        <f>C10*E10</f>
        <v>16422</v>
      </c>
      <c r="H10" s="53">
        <f>G10-F10</f>
        <v>9516.2868</v>
      </c>
      <c r="I10" s="90">
        <f>_xlfn.IFERROR(H10/G10,0)</f>
        <v>0.5794840336134454</v>
      </c>
      <c r="J10" s="52">
        <v>0.250207</v>
      </c>
      <c r="K10" s="90">
        <f>_xlfn.IFERROR(D10/E10,0)</f>
        <v>0.42051596638655464</v>
      </c>
    </row>
    <row r="11" spans="1:11" ht="16.5" customHeight="1" x14ac:dyDescent="0.15">
      <c r="A11" s="50" t="s">
        <v>56</v>
      </c>
      <c r="B11" s="50" t="s">
        <v>16</v>
      </c>
      <c r="C11" s="51">
        <v>900.0</v>
      </c>
      <c r="D11" s="52">
        <v>0.294137</v>
      </c>
      <c r="E11" s="52">
        <v>0.63</v>
      </c>
      <c r="F11" s="53">
        <f>C11*D11</f>
        <v>264.7233</v>
      </c>
      <c r="G11" s="53">
        <f>C11*E11</f>
        <v>567</v>
      </c>
      <c r="H11" s="53">
        <f>G11-F11</f>
        <v>302.2767</v>
      </c>
      <c r="I11" s="90">
        <f>_xlfn.IFERROR(H11/G11,0)</f>
        <v>0.533115873015873</v>
      </c>
      <c r="J11" s="52">
        <v>0.294137</v>
      </c>
      <c r="K11" s="90">
        <f>_xlfn.IFERROR(D11/E11,0)</f>
        <v>0.46688412698412696</v>
      </c>
    </row>
    <row r="12" spans="1:11" ht="16.5" customHeight="1" x14ac:dyDescent="0.15">
      <c r="A12" s="50" t="s">
        <v>57</v>
      </c>
      <c r="B12" s="50" t="s">
        <v>16</v>
      </c>
      <c r="C12" s="51">
        <v>23700.0</v>
      </c>
      <c r="D12" s="52">
        <v>0.260287</v>
      </c>
      <c r="E12" s="52">
        <v>0.515</v>
      </c>
      <c r="F12" s="53">
        <f>C12*D12</f>
        <v>6168.8018999999995</v>
      </c>
      <c r="G12" s="53">
        <f>C12*E12</f>
        <v>12205.5</v>
      </c>
      <c r="H12" s="53">
        <f>G12-F12</f>
        <v>6036.6981000000005</v>
      </c>
      <c r="I12" s="90">
        <f>_xlfn.IFERROR(H12/G12,0)</f>
        <v>0.49458834951456315</v>
      </c>
      <c r="J12" s="52">
        <v>0.260287</v>
      </c>
      <c r="K12" s="90">
        <f>_xlfn.IFERROR(D12/E12,0)</f>
        <v>0.5054116504854369</v>
      </c>
    </row>
    <row r="13" spans="1:11" ht="16.5" customHeight="1" x14ac:dyDescent="0.15">
      <c r="A13" s="50" t="s">
        <v>58</v>
      </c>
      <c r="B13" s="50" t="s">
        <v>16</v>
      </c>
      <c r="C13" s="51">
        <v>0.0</v>
      </c>
      <c r="D13" s="52">
        <v>0.02</v>
      </c>
      <c r="E13" s="52">
        <v>0.05</v>
      </c>
      <c r="F13" s="53">
        <f>C13*D13</f>
        <v>0</v>
      </c>
      <c r="G13" s="53">
        <f>C13*E13</f>
        <v>0</v>
      </c>
      <c r="H13" s="53">
        <f>G13-F13</f>
        <v>0</v>
      </c>
      <c r="I13" s="90">
        <f>_xlfn.IFERROR(H13/G13,0)</f>
        <v>0</v>
      </c>
      <c r="J13" s="52">
        <v>0.02</v>
      </c>
      <c r="K13" s="90">
        <f>_xlfn.IFERROR(D13/E13,0)</f>
        <v>0.39999999999999997</v>
      </c>
    </row>
    <row r="14" spans="1:11" ht="16.5" customHeight="1" x14ac:dyDescent="0.15">
      <c r="A14" s="50" t="s">
        <v>59</v>
      </c>
      <c r="B14" s="50" t="s">
        <v>16</v>
      </c>
      <c r="C14" s="51">
        <v>1000.0</v>
      </c>
      <c r="D14" s="52">
        <v>0.20622</v>
      </c>
      <c r="E14" s="52">
        <v>0.481</v>
      </c>
      <c r="F14" s="53">
        <f>C14*D14</f>
        <v>206.22</v>
      </c>
      <c r="G14" s="53">
        <f>C14*E14</f>
        <v>481</v>
      </c>
      <c r="H14" s="53">
        <f>G14-F14</f>
        <v>274.78</v>
      </c>
      <c r="I14" s="90">
        <f>_xlfn.IFERROR(H14/G14,0)</f>
        <v>0.5712681912681912</v>
      </c>
      <c r="J14" s="52">
        <v>0.20622</v>
      </c>
      <c r="K14" s="90">
        <f>_xlfn.IFERROR(D14/E14,0)</f>
        <v>0.4287318087318087</v>
      </c>
    </row>
    <row r="15" spans="1:11" ht="16.5" customHeight="1" x14ac:dyDescent="0.15">
      <c r="A15" s="50" t="s">
        <v>60</v>
      </c>
      <c r="B15" s="50" t="s">
        <v>16</v>
      </c>
      <c r="C15" s="51">
        <v>2000.0</v>
      </c>
      <c r="D15" s="52">
        <v>0.012291</v>
      </c>
      <c r="E15" s="52">
        <v>0.055</v>
      </c>
      <c r="F15" s="53">
        <f>C15*D15</f>
        <v>24.582</v>
      </c>
      <c r="G15" s="53">
        <f>C15*E15</f>
        <v>110</v>
      </c>
      <c r="H15" s="53">
        <f>G15-F15</f>
        <v>85.418</v>
      </c>
      <c r="I15" s="90">
        <f>_xlfn.IFERROR(H15/G15,0)</f>
        <v>0.7765272727272727</v>
      </c>
      <c r="J15" s="52">
        <v>0.012291</v>
      </c>
      <c r="K15" s="90">
        <f>_xlfn.IFERROR(D15/E15,0)</f>
        <v>0.22347272727272727</v>
      </c>
    </row>
    <row r="16" spans="1:11" ht="16.5" customHeight="1" x14ac:dyDescent="0.15">
      <c r="A16" s="50" t="s">
        <v>61</v>
      </c>
      <c r="B16" s="50" t="s">
        <v>16</v>
      </c>
      <c r="C16" s="51">
        <v>2000.0</v>
      </c>
      <c r="D16" s="52">
        <v>0.260596</v>
      </c>
      <c r="E16" s="52">
        <v>0.595</v>
      </c>
      <c r="F16" s="53">
        <f>C16*D16</f>
        <v>521.192</v>
      </c>
      <c r="G16" s="53">
        <f>C16*E16</f>
        <v>1190</v>
      </c>
      <c r="H16" s="53">
        <f>G16-F16</f>
        <v>668.808</v>
      </c>
      <c r="I16" s="90">
        <f>_xlfn.IFERROR(H16/G16,0)</f>
        <v>0.5620235294117647</v>
      </c>
      <c r="J16" s="52">
        <v>0.260596</v>
      </c>
      <c r="K16" s="90">
        <f>_xlfn.IFERROR(D16/E16,0)</f>
        <v>0.4379764705882353</v>
      </c>
    </row>
    <row r="17" spans="1:11" ht="16.5" customHeight="1" x14ac:dyDescent="0.15">
      <c r="A17" s="50" t="s">
        <v>62</v>
      </c>
      <c r="B17" s="50" t="s">
        <v>16</v>
      </c>
      <c r="C17" s="51">
        <v>7300.0</v>
      </c>
      <c r="D17" s="52">
        <v>0.260167</v>
      </c>
      <c r="E17" s="52">
        <v>0.63</v>
      </c>
      <c r="F17" s="53">
        <f>C17*D17</f>
        <v>1899.2190999999998</v>
      </c>
      <c r="G17" s="53">
        <f>C17*E17</f>
        <v>4599</v>
      </c>
      <c r="H17" s="53">
        <f>G17-F17</f>
        <v>2699.7809</v>
      </c>
      <c r="I17" s="90">
        <f>_xlfn.IFERROR(H17/G17,0)</f>
        <v>0.587036507936508</v>
      </c>
      <c r="J17" s="52">
        <v>0.260167</v>
      </c>
      <c r="K17" s="90">
        <f>_xlfn.IFERROR(D17/E17,0)</f>
        <v>0.41296349206349203</v>
      </c>
    </row>
    <row r="18" spans="1:11" ht="16.5" customHeight="1" x14ac:dyDescent="0.15">
      <c r="A18" s="50" t="s">
        <v>63</v>
      </c>
      <c r="B18" s="50" t="s">
        <v>16</v>
      </c>
      <c r="C18" s="51">
        <v>0.0</v>
      </c>
      <c r="D18" s="52">
        <v>0.02</v>
      </c>
      <c r="E18" s="52">
        <v>0.06</v>
      </c>
      <c r="F18" s="53">
        <f>C18*D18</f>
        <v>0</v>
      </c>
      <c r="G18" s="53">
        <f>C18*E18</f>
        <v>0</v>
      </c>
      <c r="H18" s="53">
        <f>G18-F18</f>
        <v>0</v>
      </c>
      <c r="I18" s="90">
        <f>_xlfn.IFERROR(H18/G18,0)</f>
        <v>0</v>
      </c>
      <c r="J18" s="52">
        <v>0.02</v>
      </c>
      <c r="K18" s="90">
        <f>_xlfn.IFERROR(D18/E18,0)</f>
        <v>0.33333333333333337</v>
      </c>
    </row>
    <row r="19" spans="1:11" ht="16.5" customHeight="1" x14ac:dyDescent="0.15">
      <c r="A19" s="50" t="s">
        <v>64</v>
      </c>
      <c r="B19" s="50" t="s">
        <v>16</v>
      </c>
      <c r="C19" s="51">
        <v>0.0</v>
      </c>
      <c r="D19" s="52">
        <v>0.02</v>
      </c>
      <c r="E19" s="52">
        <v>0.06</v>
      </c>
      <c r="F19" s="53">
        <f>C19*D19</f>
        <v>0</v>
      </c>
      <c r="G19" s="53">
        <f>C19*E19</f>
        <v>0</v>
      </c>
      <c r="H19" s="53">
        <f>G19-F19</f>
        <v>0</v>
      </c>
      <c r="I19" s="90">
        <f>_xlfn.IFERROR(H19/G19,0)</f>
        <v>0</v>
      </c>
      <c r="J19" s="52">
        <v>0.02</v>
      </c>
      <c r="K19" s="90">
        <f>_xlfn.IFERROR(D19/E19,0)</f>
        <v>0.33333333333333337</v>
      </c>
    </row>
    <row r="20" spans="1:11" ht="16.5" customHeight="1" x14ac:dyDescent="0.15">
      <c r="A20" s="55" t="s">
        <v>65</v>
      </c>
      <c r="B20" s="55" t="s">
        <v>17</v>
      </c>
      <c r="C20" s="56">
        <v>47000.0</v>
      </c>
      <c r="D20" s="57">
        <v>0.140065</v>
      </c>
      <c r="E20" s="57">
        <v>0.357</v>
      </c>
      <c r="F20" s="58">
        <f>C20*D20</f>
        <v>6583.054999999999</v>
      </c>
      <c r="G20" s="58">
        <f>C20*E20</f>
        <v>16779</v>
      </c>
      <c r="H20" s="58">
        <f>G20-F20</f>
        <v>10195.945</v>
      </c>
      <c r="I20" s="91">
        <f>_xlfn.IFERROR(H20/G20,0)</f>
        <v>0.6076610644257703</v>
      </c>
      <c r="J20" s="57">
        <v>0.140065</v>
      </c>
      <c r="K20" s="91">
        <f>_xlfn.IFERROR(D20/E20,0)</f>
        <v>0.3923389355742297</v>
      </c>
    </row>
    <row r="21" spans="1:11" ht="16.5" customHeight="1" x14ac:dyDescent="0.15">
      <c r="A21" s="60" t="s">
        <v>66</v>
      </c>
      <c r="B21" s="60" t="s">
        <v>18</v>
      </c>
      <c r="C21" s="61">
        <v>1500.0</v>
      </c>
      <c r="D21" s="62">
        <v>0.568395</v>
      </c>
      <c r="E21" s="62">
        <v>1.31</v>
      </c>
      <c r="F21" s="63">
        <f>C21*D21</f>
        <v>852.5925</v>
      </c>
      <c r="G21" s="63">
        <f>C21*E21</f>
        <v>1965</v>
      </c>
      <c r="H21" s="63">
        <f>G21-F21</f>
        <v>1112.4075</v>
      </c>
      <c r="I21" s="92">
        <f>_xlfn.IFERROR(H21/G21,0)</f>
        <v>0.5661106870229008</v>
      </c>
      <c r="J21" s="62">
        <v>0.568395</v>
      </c>
      <c r="K21" s="92">
        <f>_xlfn.IFERROR(D21/E21,0)</f>
        <v>0.4338893129770992</v>
      </c>
    </row>
    <row r="22" spans="1:11" ht="16.5" customHeight="1" x14ac:dyDescent="0.15">
      <c r="A22" s="60" t="s">
        <v>67</v>
      </c>
      <c r="B22" s="60" t="s">
        <v>18</v>
      </c>
      <c r="C22" s="61">
        <v>0.0</v>
      </c>
      <c r="D22" s="62">
        <v>0.554073</v>
      </c>
      <c r="E22" s="62">
        <v>1.16</v>
      </c>
      <c r="F22" s="63">
        <f>C22*D22</f>
        <v>0</v>
      </c>
      <c r="G22" s="63">
        <f>C22*E22</f>
        <v>0</v>
      </c>
      <c r="H22" s="63">
        <f>G22-F22</f>
        <v>0</v>
      </c>
      <c r="I22" s="92">
        <f>_xlfn.IFERROR(H22/G22,0)</f>
        <v>0</v>
      </c>
      <c r="J22" s="62">
        <v>0.554073</v>
      </c>
      <c r="K22" s="92">
        <f>_xlfn.IFERROR(D22/E22,0)</f>
        <v>0.47764913793103453</v>
      </c>
    </row>
    <row r="23" spans="1:11" ht="16.5" customHeight="1" x14ac:dyDescent="0.15">
      <c r="A23" s="60" t="s">
        <v>68</v>
      </c>
      <c r="B23" s="60" t="s">
        <v>18</v>
      </c>
      <c r="C23" s="61">
        <v>500.0</v>
      </c>
      <c r="D23" s="62">
        <v>0.401904</v>
      </c>
      <c r="E23" s="62">
        <v>0.95</v>
      </c>
      <c r="F23" s="63">
        <f>C23*D23</f>
        <v>200.952</v>
      </c>
      <c r="G23" s="63">
        <f>C23*E23</f>
        <v>475</v>
      </c>
      <c r="H23" s="63">
        <f>G23-F23</f>
        <v>274.048</v>
      </c>
      <c r="I23" s="92">
        <f>_xlfn.IFERROR(H23/G23,0)</f>
        <v>0.5769431578947368</v>
      </c>
      <c r="J23" s="62">
        <v>0.401904</v>
      </c>
      <c r="K23" s="92">
        <f>_xlfn.IFERROR(D23/E23,0)</f>
        <v>0.4230568421052632</v>
      </c>
    </row>
    <row r="24" spans="1:11" ht="16.5" customHeight="1" x14ac:dyDescent="0.15">
      <c r="A24" s="60" t="s">
        <v>69</v>
      </c>
      <c r="B24" s="60" t="s">
        <v>18</v>
      </c>
      <c r="C24" s="61">
        <v>500.0</v>
      </c>
      <c r="D24" s="62">
        <v>0.554073</v>
      </c>
      <c r="E24" s="62">
        <v>1.252</v>
      </c>
      <c r="F24" s="63">
        <f>C24*D24</f>
        <v>277.03650000000005</v>
      </c>
      <c r="G24" s="63">
        <f>C24*E24</f>
        <v>626</v>
      </c>
      <c r="H24" s="63">
        <f>G24-F24</f>
        <v>348.96349999999995</v>
      </c>
      <c r="I24" s="92">
        <f>_xlfn.IFERROR(H24/G24,0)</f>
        <v>0.557449680511182</v>
      </c>
      <c r="J24" s="62">
        <v>0.554073</v>
      </c>
      <c r="K24" s="92">
        <f>_xlfn.IFERROR(D24/E24,0)</f>
        <v>0.4425503194888179</v>
      </c>
    </row>
    <row r="25" spans="1:11" ht="16.5" customHeight="1" x14ac:dyDescent="0.15">
      <c r="A25" s="60" t="s">
        <v>70</v>
      </c>
      <c r="B25" s="60" t="s">
        <v>18</v>
      </c>
      <c r="C25" s="61">
        <v>0.0</v>
      </c>
      <c r="D25" s="62">
        <v>0.408413</v>
      </c>
      <c r="E25" s="62">
        <v>1.202</v>
      </c>
      <c r="F25" s="63">
        <f>C25*D25</f>
        <v>0</v>
      </c>
      <c r="G25" s="63">
        <f>C25*E25</f>
        <v>0</v>
      </c>
      <c r="H25" s="63">
        <f>G25-F25</f>
        <v>0</v>
      </c>
      <c r="I25" s="92">
        <f>_xlfn.IFERROR(H25/G25,0)</f>
        <v>0</v>
      </c>
      <c r="J25" s="62">
        <v>0.408413</v>
      </c>
      <c r="K25" s="92">
        <f>_xlfn.IFERROR(D25/E25,0)</f>
        <v>0.3397778702163062</v>
      </c>
    </row>
    <row r="26" spans="1:11" ht="16.5" customHeight="1" x14ac:dyDescent="0.15">
      <c r="A26" s="60" t="s">
        <v>71</v>
      </c>
      <c r="B26" s="60" t="s">
        <v>18</v>
      </c>
      <c r="C26" s="61">
        <v>0.0</v>
      </c>
      <c r="D26" s="62">
        <v>0.573169</v>
      </c>
      <c r="E26" s="62">
        <v>1.312</v>
      </c>
      <c r="F26" s="63">
        <f>C26*D26</f>
        <v>0</v>
      </c>
      <c r="G26" s="63">
        <f>C26*E26</f>
        <v>0</v>
      </c>
      <c r="H26" s="63">
        <f>G26-F26</f>
        <v>0</v>
      </c>
      <c r="I26" s="92">
        <f>_xlfn.IFERROR(H26/G26,0)</f>
        <v>0</v>
      </c>
      <c r="J26" s="62">
        <v>0.573169</v>
      </c>
      <c r="K26" s="92">
        <f>_xlfn.IFERROR(D26/E26,0)</f>
        <v>0.43686661585365855</v>
      </c>
    </row>
    <row r="27" spans="1:11" ht="16.5" customHeight="1" x14ac:dyDescent="0.15">
      <c r="A27" s="60" t="s">
        <v>72</v>
      </c>
      <c r="B27" s="60" t="s">
        <v>18</v>
      </c>
      <c r="C27" s="61">
        <v>0.0</v>
      </c>
      <c r="D27" s="62">
        <v>0.428147</v>
      </c>
      <c r="E27" s="62">
        <v>0.92</v>
      </c>
      <c r="F27" s="63">
        <f>C27*D27</f>
        <v>0</v>
      </c>
      <c r="G27" s="63">
        <f>C27*E27</f>
        <v>0</v>
      </c>
      <c r="H27" s="63">
        <f>G27-F27</f>
        <v>0</v>
      </c>
      <c r="I27" s="92">
        <f>_xlfn.IFERROR(H27/G27,0)</f>
        <v>0</v>
      </c>
      <c r="J27" s="62">
        <v>0.428147</v>
      </c>
      <c r="K27" s="92">
        <f>_xlfn.IFERROR(D27/E27,0)</f>
        <v>0.46537717391304345</v>
      </c>
    </row>
    <row r="28" spans="1:11" ht="16.5" customHeight="1" x14ac:dyDescent="0.15">
      <c r="A28" s="65" t="s">
        <v>73</v>
      </c>
      <c r="B28" s="65" t="s">
        <v>19</v>
      </c>
      <c r="C28" s="66">
        <v>7500.0</v>
      </c>
      <c r="D28" s="67">
        <v>0.14613</v>
      </c>
      <c r="E28" s="67">
        <v>0.129</v>
      </c>
      <c r="F28" s="68">
        <f>C28*D28</f>
        <v>1095.9750000000001</v>
      </c>
      <c r="G28" s="68">
        <f>C28*E28</f>
        <v>967.5</v>
      </c>
      <c r="H28" s="68">
        <f>G28-F28</f>
        <v>-128.47500000000014</v>
      </c>
      <c r="I28" s="93">
        <f>_xlfn.IFERROR(H28/G28,0)</f>
        <v>-0.13279069767441876</v>
      </c>
      <c r="J28" s="67">
        <v>0.14613</v>
      </c>
      <c r="K28" s="93">
        <f>_xlfn.IFERROR(D28/E28,0)</f>
        <v>1.1327906976744186</v>
      </c>
    </row>
    <row r="29" spans="1:11" ht="16.5" customHeight="1" x14ac:dyDescent="0.15">
      <c r="A29" s="65" t="s">
        <v>74</v>
      </c>
      <c r="B29" s="65" t="s">
        <v>19</v>
      </c>
      <c r="C29" s="66">
        <v>7000.0</v>
      </c>
      <c r="D29" s="67">
        <v>0.01353</v>
      </c>
      <c r="E29" s="67">
        <v>0.035</v>
      </c>
      <c r="F29" s="68">
        <f>C29*D29</f>
        <v>94.71000000000001</v>
      </c>
      <c r="G29" s="68">
        <f>C29*E29</f>
        <v>245.00000000000003</v>
      </c>
      <c r="H29" s="68">
        <f>G29-F29</f>
        <v>150.29000000000002</v>
      </c>
      <c r="I29" s="93">
        <f>_xlfn.IFERROR(H29/G29,0)</f>
        <v>0.6134285714285714</v>
      </c>
      <c r="J29" s="67">
        <v>0.01353</v>
      </c>
      <c r="K29" s="93">
        <f>_xlfn.IFERROR(D29/E29,0)</f>
        <v>0.38657142857142857</v>
      </c>
    </row>
    <row r="30" spans="1:11" ht="16.5" customHeight="1" x14ac:dyDescent="0.15">
      <c r="A30" s="65" t="s">
        <v>75</v>
      </c>
      <c r="B30" s="65" t="s">
        <v>19</v>
      </c>
      <c r="C30" s="66">
        <v>3000.0</v>
      </c>
      <c r="D30" s="67">
        <v>0.13899</v>
      </c>
      <c r="E30" s="67">
        <v>0.549</v>
      </c>
      <c r="F30" s="68">
        <f>C30*D30</f>
        <v>416.97</v>
      </c>
      <c r="G30" s="68">
        <f>C30*E30</f>
        <v>1647.0000000000002</v>
      </c>
      <c r="H30" s="68">
        <f>G30-F30</f>
        <v>1230.0300000000002</v>
      </c>
      <c r="I30" s="93">
        <f>_xlfn.IFERROR(H30/G30,0)</f>
        <v>0.7468306010928962</v>
      </c>
      <c r="J30" s="67">
        <v>0.13899</v>
      </c>
      <c r="K30" s="93">
        <f>_xlfn.IFERROR(D30/E30,0)</f>
        <v>0.2531693989071038</v>
      </c>
    </row>
    <row r="31" spans="1:11" ht="16.5" customHeight="1" x14ac:dyDescent="0.15">
      <c r="A31" s="65" t="s">
        <v>76</v>
      </c>
      <c r="B31" s="65" t="s">
        <v>19</v>
      </c>
      <c r="C31" s="66">
        <v>2700.0</v>
      </c>
      <c r="D31" s="67">
        <v>0.13899</v>
      </c>
      <c r="E31" s="67">
        <v>0.355</v>
      </c>
      <c r="F31" s="68">
        <f>C31*D31</f>
        <v>375.273</v>
      </c>
      <c r="G31" s="68">
        <f>C31*E31</f>
        <v>958.5</v>
      </c>
      <c r="H31" s="68">
        <f>G31-F31</f>
        <v>583.227</v>
      </c>
      <c r="I31" s="93">
        <f>_xlfn.IFERROR(H31/G31,0)</f>
        <v>0.6084788732394366</v>
      </c>
      <c r="J31" s="67">
        <v>0.13899</v>
      </c>
      <c r="K31" s="93">
        <f>_xlfn.IFERROR(D31/E31,0)</f>
        <v>0.3915211267605634</v>
      </c>
    </row>
    <row r="32" spans="1:11" ht="16.5" customHeight="1" x14ac:dyDescent="0.15">
      <c r="A32" s="65" t="s">
        <v>77</v>
      </c>
      <c r="B32" s="65" t="s">
        <v>19</v>
      </c>
      <c r="C32" s="66">
        <v>2080.0</v>
      </c>
      <c r="D32" s="67">
        <v>0.10455</v>
      </c>
      <c r="E32" s="67">
        <v>0.355</v>
      </c>
      <c r="F32" s="68">
        <f>C32*D32</f>
        <v>217.464</v>
      </c>
      <c r="G32" s="68">
        <f>C32*E32</f>
        <v>738.4</v>
      </c>
      <c r="H32" s="68">
        <f>G32-F32</f>
        <v>520.9359999999999</v>
      </c>
      <c r="I32" s="93">
        <f>_xlfn.IFERROR(H32/G32,0)</f>
        <v>0.7054929577464788</v>
      </c>
      <c r="J32" s="67">
        <v>0.10455</v>
      </c>
      <c r="K32" s="93">
        <f>_xlfn.IFERROR(D32/E32,0)</f>
        <v>0.29450704225352115</v>
      </c>
    </row>
    <row r="33" spans="1:11" ht="16.5" customHeight="1" x14ac:dyDescent="0.15">
      <c r="A33" s="65" t="s">
        <v>78</v>
      </c>
      <c r="B33" s="65" t="s">
        <v>19</v>
      </c>
      <c r="C33" s="66">
        <v>500.0</v>
      </c>
      <c r="D33" s="67">
        <v>1.44305</v>
      </c>
      <c r="E33" s="67">
        <v>1.6</v>
      </c>
      <c r="F33" s="68">
        <f>C33*D33</f>
        <v>721.525</v>
      </c>
      <c r="G33" s="68">
        <f>C33*E33</f>
        <v>800</v>
      </c>
      <c r="H33" s="68">
        <f>G33-F33</f>
        <v>78.47500000000002</v>
      </c>
      <c r="I33" s="93">
        <f>_xlfn.IFERROR(H33/G33,0)</f>
        <v>0.09809375000000004</v>
      </c>
      <c r="J33" s="67">
        <v>1.44305</v>
      </c>
      <c r="K33" s="93">
        <f>_xlfn.IFERROR(D33/E33,0)</f>
        <v>0.9019062499999999</v>
      </c>
    </row>
    <row r="34" spans="1:11" ht="16.5" customHeight="1" x14ac:dyDescent="0.15">
      <c r="A34" s="65" t="s">
        <v>79</v>
      </c>
      <c r="B34" s="65" t="s">
        <v>19</v>
      </c>
      <c r="C34" s="66">
        <v>500.0</v>
      </c>
      <c r="D34" s="67">
        <v>0.10845</v>
      </c>
      <c r="E34" s="67">
        <v>0.37</v>
      </c>
      <c r="F34" s="68">
        <f>C34*D34</f>
        <v>54.225</v>
      </c>
      <c r="G34" s="68">
        <f>C34*E34</f>
        <v>185</v>
      </c>
      <c r="H34" s="68">
        <f>G34-F34</f>
        <v>130.775</v>
      </c>
      <c r="I34" s="93">
        <f>_xlfn.IFERROR(H34/G34,0)</f>
        <v>0.7068918918918919</v>
      </c>
      <c r="J34" s="67">
        <v>0.10845</v>
      </c>
      <c r="K34" s="93">
        <f>_xlfn.IFERROR(D34/E34,0)</f>
        <v>0.2931081081081081</v>
      </c>
    </row>
    <row r="35" spans="1:11" ht="16.5" customHeight="1" x14ac:dyDescent="0.15">
      <c r="A35" s="70" t="s">
        <v>20</v>
      </c>
      <c r="B35" s="70" t="s">
        <v>20</v>
      </c>
      <c r="C35" s="71">
        <v>99000.0</v>
      </c>
      <c r="D35" s="72">
        <v>0.07</v>
      </c>
      <c r="E35" s="72">
        <v>0.07</v>
      </c>
      <c r="F35" s="73">
        <f>C35*D35</f>
        <v>6930.000000000001</v>
      </c>
      <c r="G35" s="73">
        <f>C35*E35</f>
        <v>6930.000000000001</v>
      </c>
      <c r="H35" s="73">
        <f>G35-F35</f>
        <v>0</v>
      </c>
      <c r="I35" s="94">
        <f>_xlfn.IFERROR(H35/G35,0)</f>
        <v>0</v>
      </c>
      <c r="J35" s="72">
        <v>0.07</v>
      </c>
      <c r="K35" s="94">
        <f>_xlfn.IFERROR(D35/E35,0)</f>
        <v>1</v>
      </c>
    </row>
    <row r="36" spans="1:9" ht="19.5" customHeight="1" x14ac:dyDescent="0.15">
      <c r="A36" s="95" t="s">
        <v>39</v>
      </c>
      <c r="C36" s="96">
        <f>SUM(C4:C35)</f>
        <v>341380</v>
      </c>
      <c r="F36" s="97">
        <f>SUM(F4:F35)</f>
        <v>50806.613999999994</v>
      </c>
      <c r="G36" s="97">
        <f>SUM(G4:G35)</f>
        <v>105720.5</v>
      </c>
      <c r="H36" s="97">
        <f>SUM(H4:H35)</f>
        <v>54913.88599999999</v>
      </c>
      <c r="I36" s="98">
        <f>_xlfn.IFERROR(H36/G36,0)</f>
        <v>0.519425144602986</v>
      </c>
    </row>
  </sheetData>
  <mergeCells count="1">
    <mergeCell ref="A2:K2"/>
  </mergeCells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155CC"/>
    <outlinePr showOutlineSymbols="1"/>
  </sheetPr>
  <dimension ref="A1:J9"/>
  <sheetViews>
    <sheetView zoomScaleNormal="100" topLeftCell="A1" workbookViewId="0">
      <pane ySplit="3" topLeftCell="A4" activePane="bottomLeft" state="frozen"/>
      <selection activeCell="A1" activeCellId="0" sqref="A1"/>
      <selection pane="bottomLeft" activeCell="A1" activeCellId="0" sqref="A1"/>
    </sheetView>
  </sheetViews>
  <sheetFormatPr defaultRowHeight="15.0" defaultColWidth="8.666666666666666" x14ac:dyDescent="0.15"/>
  <cols>
    <col min="1" max="1" width="18.0" customWidth="1" style="1"/>
    <col min="2" max="2" width="12.0" customWidth="1" style="1"/>
    <col min="3" max="5" width="14.0" customWidth="1" style="1"/>
    <col min="6" max="8" width="16.0" customWidth="1" style="1"/>
    <col min="9" max="10" width="12.0" customWidth="1" style="1"/>
  </cols>
  <sheetData>
    <row r="1" spans="1:1" ht="7.5" customHeight="1" x14ac:dyDescent="0.15"/>
    <row r="2" spans="1:10" ht="24.0" customHeight="1" x14ac:dyDescent="0.15">
      <c r="A2" s="192" t="s">
        <v>173</v>
      </c>
      <c r="B2" s="192"/>
      <c r="C2" s="192"/>
      <c r="D2" s="192"/>
      <c r="E2" s="192"/>
      <c r="F2" s="192"/>
      <c r="G2" s="192"/>
      <c r="H2" s="192"/>
      <c r="I2" s="192"/>
      <c r="J2" s="192"/>
    </row>
    <row r="3" spans="1:10" ht="19.5" customHeight="1" x14ac:dyDescent="0.15">
      <c r="A3" s="7" t="s">
        <v>9</v>
      </c>
      <c r="B3" s="7" t="s">
        <v>174</v>
      </c>
      <c r="C3" s="7" t="s">
        <v>42</v>
      </c>
      <c r="D3" s="7" t="s">
        <v>43</v>
      </c>
      <c r="E3" s="7" t="s">
        <v>12</v>
      </c>
      <c r="F3" s="7" t="s">
        <v>175</v>
      </c>
      <c r="G3" s="7" t="s">
        <v>170</v>
      </c>
      <c r="H3" s="7" t="s">
        <v>47</v>
      </c>
      <c r="I3" s="7" t="s">
        <v>15</v>
      </c>
      <c r="J3" s="7" t="s">
        <v>176</v>
      </c>
    </row>
    <row r="4" spans="1:10" ht="19.5" customHeight="1" x14ac:dyDescent="0.15">
      <c r="A4" s="99" t="s">
        <v>16</v>
      </c>
      <c r="B4" s="99">
        <v>16.0</v>
      </c>
      <c r="C4" s="100">
        <v>217000.0</v>
      </c>
      <c r="D4" s="100">
        <v>169600.0</v>
      </c>
      <c r="E4" s="100">
        <f>C4-D4</f>
        <v>47400</v>
      </c>
      <c r="F4" s="101">
        <v>32986.84</v>
      </c>
      <c r="G4" s="101">
        <v>73404.1</v>
      </c>
      <c r="H4" s="101">
        <f>G4-F4</f>
        <v>40417.26000000001</v>
      </c>
      <c r="I4" s="102">
        <f>_xlfn.IFERROR(H4/G4,0)</f>
        <v>0.5506131128915143</v>
      </c>
      <c r="J4" s="102">
        <f>_xlfn.IFERROR(G4/G9,0)</f>
        <v>0.6943222932165475</v>
      </c>
    </row>
    <row r="5" spans="1:10" ht="19.5" customHeight="1" x14ac:dyDescent="0.15">
      <c r="A5" s="103" t="s">
        <v>17</v>
      </c>
      <c r="B5" s="103">
        <v>1.0</v>
      </c>
      <c r="C5" s="104">
        <v>53000.0</v>
      </c>
      <c r="D5" s="104">
        <v>47000.0</v>
      </c>
      <c r="E5" s="104">
        <f>C5-D5</f>
        <v>6000</v>
      </c>
      <c r="F5" s="105">
        <v>6583.05</v>
      </c>
      <c r="G5" s="105">
        <v>16779.0</v>
      </c>
      <c r="H5" s="105">
        <f>G5-F5</f>
        <v>10195.95</v>
      </c>
      <c r="I5" s="106">
        <f>_xlfn.IFERROR(H5/G5,0)</f>
        <v>0.6076613624173074</v>
      </c>
      <c r="J5" s="106">
        <f>_xlfn.IFERROR(G5/G9,0)</f>
        <v>0.15871094064065153</v>
      </c>
    </row>
    <row r="6" spans="1:10" ht="19.5" customHeight="1" x14ac:dyDescent="0.15">
      <c r="A6" s="107" t="s">
        <v>18</v>
      </c>
      <c r="B6" s="107">
        <v>7.0</v>
      </c>
      <c r="C6" s="108">
        <v>12000.0</v>
      </c>
      <c r="D6" s="108">
        <v>2500.0</v>
      </c>
      <c r="E6" s="108">
        <f>C6-D6</f>
        <v>9500</v>
      </c>
      <c r="F6" s="109">
        <v>1330.58</v>
      </c>
      <c r="G6" s="109">
        <v>3066.0</v>
      </c>
      <c r="H6" s="109">
        <f>G6-F6</f>
        <v>1735.42</v>
      </c>
      <c r="I6" s="110">
        <f>_xlfn.IFERROR(H6/G6,0)</f>
        <v>0.5660208741030659</v>
      </c>
      <c r="J6" s="110">
        <f>_xlfn.IFERROR(G6/G9,0)</f>
        <v>0.029000997914311794</v>
      </c>
    </row>
    <row r="7" spans="1:10" ht="19.5" customHeight="1" x14ac:dyDescent="0.15">
      <c r="A7" s="111" t="s">
        <v>19</v>
      </c>
      <c r="B7" s="111">
        <v>7.0</v>
      </c>
      <c r="C7" s="112">
        <v>38000.0</v>
      </c>
      <c r="D7" s="112">
        <v>23280.0</v>
      </c>
      <c r="E7" s="112">
        <f>C7-D7</f>
        <v>14720</v>
      </c>
      <c r="F7" s="113">
        <v>2976.14</v>
      </c>
      <c r="G7" s="113">
        <v>5541.4</v>
      </c>
      <c r="H7" s="113">
        <f>G7-F7</f>
        <v>2565.2599999999998</v>
      </c>
      <c r="I7" s="114">
        <f>_xlfn.IFERROR(H7/G7,0)</f>
        <v>0.4629263363049049</v>
      </c>
      <c r="J7" s="114">
        <f>_xlfn.IFERROR(G7/G9,0)</f>
        <v>0.05241556746326398</v>
      </c>
    </row>
    <row r="8" spans="1:10" ht="19.5" customHeight="1" x14ac:dyDescent="0.15">
      <c r="A8" s="115" t="s">
        <v>20</v>
      </c>
      <c r="B8" s="115">
        <v>1.0</v>
      </c>
      <c r="C8" s="116">
        <v>72000.0</v>
      </c>
      <c r="D8" s="116">
        <v>99000.0</v>
      </c>
      <c r="E8" s="116">
        <f>C8-D8</f>
        <v>-27000</v>
      </c>
      <c r="F8" s="117">
        <v>6930.0</v>
      </c>
      <c r="G8" s="117">
        <v>6930.0</v>
      </c>
      <c r="H8" s="117">
        <f>G8-F8</f>
        <v>0</v>
      </c>
      <c r="I8" s="118">
        <f>_xlfn.IFERROR(H8/G8,0)</f>
        <v>0</v>
      </c>
      <c r="J8" s="118">
        <f>_xlfn.IFERROR(G8/G9,0)</f>
        <v>0.06555020076522529</v>
      </c>
    </row>
    <row r="9" spans="1:10" ht="21.75" customHeight="1" x14ac:dyDescent="0.15">
      <c r="A9" s="119" t="s">
        <v>21</v>
      </c>
      <c r="B9" s="120">
        <f>SUM(B4:B8)</f>
        <v>32</v>
      </c>
      <c r="C9" s="120">
        <f>SUM(C4:C8)</f>
        <v>392000</v>
      </c>
      <c r="D9" s="120">
        <f>SUM(D4:D8)</f>
        <v>341380</v>
      </c>
      <c r="E9" s="120">
        <f>SUM(E4:E8)</f>
        <v>50620</v>
      </c>
      <c r="F9" s="121">
        <f>SUM(F4:F8)</f>
        <v>50806.61</v>
      </c>
      <c r="G9" s="121">
        <f>SUM(G4:G8)</f>
        <v>105720.5</v>
      </c>
      <c r="H9" s="121">
        <f>SUM(H4:H8)</f>
        <v>54913.89000000001</v>
      </c>
      <c r="I9" s="122">
        <f>_xlfn.IFERROR(H9/G9,0)</f>
        <v>0.5194251824385999</v>
      </c>
      <c r="J9" s="32" t="s">
        <v>177</v>
      </c>
    </row>
  </sheetData>
  <mergeCells count="1">
    <mergeCell ref="A2:J2"/>
  </mergeCells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34F5C"/>
    <outlinePr showOutlineSymbols="1"/>
  </sheetPr>
  <dimension ref="A1:I16"/>
  <sheetViews>
    <sheetView zoomScaleNormal="100" topLeftCell="A1" workbookViewId="0">
      <pane ySplit="3" topLeftCell="A4" activePane="bottomLeft" state="frozen"/>
      <selection activeCell="A1" activeCellId="0" sqref="A1"/>
      <selection pane="bottomLeft" activeCell="A1" activeCellId="0" sqref="A1"/>
    </sheetView>
  </sheetViews>
  <sheetFormatPr defaultRowHeight="15.0" defaultColWidth="8.666666666666666" x14ac:dyDescent="0.15"/>
  <cols>
    <col min="1" max="1" width="12.0" customWidth="1" style="1"/>
    <col min="2" max="4" width="14.0" customWidth="1" style="1"/>
    <col min="5" max="7" width="15.0" customWidth="1" style="1"/>
    <col min="8" max="8" width="12.0" customWidth="1" style="1"/>
    <col min="9" max="9" width="10.0" customWidth="1" style="1"/>
  </cols>
  <sheetData>
    <row r="1" spans="1:1" ht="7.5" customHeight="1" x14ac:dyDescent="0.15"/>
    <row r="2" spans="1:9" ht="24.0" customHeight="1" x14ac:dyDescent="0.15">
      <c r="A2" s="192" t="s">
        <v>178</v>
      </c>
      <c r="B2" s="192"/>
      <c r="C2" s="192"/>
      <c r="D2" s="192"/>
      <c r="E2" s="192"/>
      <c r="F2" s="192"/>
      <c r="G2" s="192"/>
      <c r="H2" s="192"/>
      <c r="I2" s="192"/>
    </row>
    <row r="3" spans="1:9" ht="19.5" customHeight="1" x14ac:dyDescent="0.15">
      <c r="A3" s="7" t="s">
        <v>179</v>
      </c>
      <c r="B3" s="7" t="s">
        <v>42</v>
      </c>
      <c r="C3" s="7" t="s">
        <v>43</v>
      </c>
      <c r="D3" s="7" t="s">
        <v>12</v>
      </c>
      <c r="E3" s="7" t="s">
        <v>46</v>
      </c>
      <c r="F3" s="7" t="s">
        <v>180</v>
      </c>
      <c r="G3" s="7" t="s">
        <v>181</v>
      </c>
      <c r="H3" s="7" t="s">
        <v>15</v>
      </c>
      <c r="I3" s="7" t="s">
        <v>117</v>
      </c>
    </row>
    <row r="4" spans="1:9" ht="18.0" customHeight="1" x14ac:dyDescent="0.15">
      <c r="A4" s="123" t="s">
        <v>182</v>
      </c>
      <c r="B4" s="51">
        <v>196000.0</v>
      </c>
      <c r="C4" s="51">
        <v>182980.0</v>
      </c>
      <c r="D4" s="51">
        <f>B4-C4</f>
        <v>13020</v>
      </c>
      <c r="E4" s="53">
        <v>12861.15</v>
      </c>
      <c r="F4" s="53">
        <v>8922.5</v>
      </c>
      <c r="G4" s="53">
        <f>E4-F4</f>
        <v>3938.6499999999996</v>
      </c>
      <c r="H4" s="90">
        <f>_xlfn.IFERROR(G4/E4,0)</f>
        <v>0.306243998398277</v>
      </c>
      <c r="I4" s="50">
        <v>21.0</v>
      </c>
    </row>
    <row r="5" spans="1:9" ht="18.0" customHeight="1" x14ac:dyDescent="0.15">
      <c r="A5" s="123" t="s">
        <v>183</v>
      </c>
      <c r="B5" s="51">
        <v>180000.0</v>
      </c>
      <c r="C5" s="51">
        <v>158100.0</v>
      </c>
      <c r="D5" s="51">
        <f>B5-C5</f>
        <v>21900</v>
      </c>
      <c r="E5" s="53">
        <v>11203.5</v>
      </c>
      <c r="F5" s="53">
        <v>7892.0</v>
      </c>
      <c r="G5" s="53">
        <f>E5-F5</f>
        <v>3311.5</v>
      </c>
      <c r="H5" s="90">
        <f>_xlfn.IFERROR(G5/E5,0)</f>
        <v>0.2955772749587183</v>
      </c>
      <c r="I5" s="50">
        <v>19.0</v>
      </c>
    </row>
    <row r="6" spans="1:9" ht="18.0" customHeight="1" x14ac:dyDescent="0.15">
      <c r="A6" s="123" t="s">
        <v>184</v>
      </c>
      <c r="B6" s="51">
        <v>210000.0</v>
      </c>
      <c r="C6" s="51">
        <v>175000.0</v>
      </c>
      <c r="D6" s="51">
        <f>B6-C6</f>
        <v>35000</v>
      </c>
      <c r="E6" s="53">
        <v>13450.0</v>
      </c>
      <c r="F6" s="53">
        <v>9100.0</v>
      </c>
      <c r="G6" s="53">
        <f>E6-F6</f>
        <v>4350</v>
      </c>
      <c r="H6" s="90">
        <f>_xlfn.IFERROR(G6/E6,0)</f>
        <v>0.32342007434944237</v>
      </c>
      <c r="I6" s="50">
        <v>23.0</v>
      </c>
    </row>
    <row r="7" spans="1:9" ht="18.0" customHeight="1" x14ac:dyDescent="0.15">
      <c r="A7" s="123" t="s">
        <v>185</v>
      </c>
      <c r="B7" s="51">
        <v>185000.0</v>
      </c>
      <c r="C7" s="51">
        <v>152000.0</v>
      </c>
      <c r="D7" s="51">
        <f>B7-C7</f>
        <v>33000</v>
      </c>
      <c r="E7" s="53">
        <v>12100.0</v>
      </c>
      <c r="F7" s="53">
        <v>8200.0</v>
      </c>
      <c r="G7" s="53">
        <f>E7-F7</f>
        <v>3900</v>
      </c>
      <c r="H7" s="90">
        <f>_xlfn.IFERROR(G7/E7,0)</f>
        <v>0.32231404958677684</v>
      </c>
      <c r="I7" s="50">
        <v>20.0</v>
      </c>
    </row>
    <row r="8" spans="1:9" ht="18.0" customHeight="1" x14ac:dyDescent="0.15">
      <c r="A8" s="124" t="s">
        <v>186</v>
      </c>
      <c r="B8" s="125">
        <v>0.0</v>
      </c>
      <c r="C8" s="125">
        <v>0.0</v>
      </c>
      <c r="D8" s="125">
        <f>B8-C8</f>
        <v>0</v>
      </c>
      <c r="E8" s="126">
        <v>0.0</v>
      </c>
      <c r="F8" s="126">
        <v>0.0</v>
      </c>
      <c r="G8" s="126">
        <f>E8-F8</f>
        <v>0</v>
      </c>
      <c r="H8" s="127">
        <f>_xlfn.IFERROR(G8/E8,0)</f>
        <v>0</v>
      </c>
      <c r="I8" s="128">
        <v>0.0</v>
      </c>
    </row>
    <row r="9" spans="1:9" ht="18.0" customHeight="1" x14ac:dyDescent="0.15">
      <c r="A9" s="124" t="s">
        <v>187</v>
      </c>
      <c r="B9" s="125">
        <v>0.0</v>
      </c>
      <c r="C9" s="125">
        <v>0.0</v>
      </c>
      <c r="D9" s="125">
        <f>B9-C9</f>
        <v>0</v>
      </c>
      <c r="E9" s="126">
        <v>0.0</v>
      </c>
      <c r="F9" s="126">
        <v>0.0</v>
      </c>
      <c r="G9" s="126">
        <f>E9-F9</f>
        <v>0</v>
      </c>
      <c r="H9" s="127">
        <f>_xlfn.IFERROR(G9/E9,0)</f>
        <v>0</v>
      </c>
      <c r="I9" s="128">
        <v>0.0</v>
      </c>
    </row>
    <row r="10" spans="1:9" ht="18.0" customHeight="1" x14ac:dyDescent="0.15">
      <c r="A10" s="124" t="s">
        <v>188</v>
      </c>
      <c r="B10" s="125">
        <v>0.0</v>
      </c>
      <c r="C10" s="125">
        <v>0.0</v>
      </c>
      <c r="D10" s="125">
        <f>B10-C10</f>
        <v>0</v>
      </c>
      <c r="E10" s="126">
        <v>0.0</v>
      </c>
      <c r="F10" s="126">
        <v>0.0</v>
      </c>
      <c r="G10" s="126">
        <f>E10-F10</f>
        <v>0</v>
      </c>
      <c r="H10" s="127">
        <f>_xlfn.IFERROR(G10/E10,0)</f>
        <v>0</v>
      </c>
      <c r="I10" s="128">
        <v>0.0</v>
      </c>
    </row>
    <row r="11" spans="1:9" ht="18.0" customHeight="1" x14ac:dyDescent="0.15">
      <c r="A11" s="124" t="s">
        <v>189</v>
      </c>
      <c r="B11" s="125">
        <v>0.0</v>
      </c>
      <c r="C11" s="125">
        <v>0.0</v>
      </c>
      <c r="D11" s="125">
        <f>B11-C11</f>
        <v>0</v>
      </c>
      <c r="E11" s="126">
        <v>0.0</v>
      </c>
      <c r="F11" s="126">
        <v>0.0</v>
      </c>
      <c r="G11" s="126">
        <f>E11-F11</f>
        <v>0</v>
      </c>
      <c r="H11" s="127">
        <f>_xlfn.IFERROR(G11/E11,0)</f>
        <v>0</v>
      </c>
      <c r="I11" s="128">
        <v>0.0</v>
      </c>
    </row>
    <row r="12" spans="1:9" ht="18.0" customHeight="1" x14ac:dyDescent="0.15">
      <c r="A12" s="124" t="s">
        <v>190</v>
      </c>
      <c r="B12" s="125">
        <v>0.0</v>
      </c>
      <c r="C12" s="125">
        <v>0.0</v>
      </c>
      <c r="D12" s="125">
        <f>B12-C12</f>
        <v>0</v>
      </c>
      <c r="E12" s="126">
        <v>0.0</v>
      </c>
      <c r="F12" s="126">
        <v>0.0</v>
      </c>
      <c r="G12" s="126">
        <f>E12-F12</f>
        <v>0</v>
      </c>
      <c r="H12" s="127">
        <f>_xlfn.IFERROR(G12/E12,0)</f>
        <v>0</v>
      </c>
      <c r="I12" s="128">
        <v>0.0</v>
      </c>
    </row>
    <row r="13" spans="1:9" ht="18.0" customHeight="1" x14ac:dyDescent="0.15">
      <c r="A13" s="124" t="s">
        <v>191</v>
      </c>
      <c r="B13" s="125">
        <v>0.0</v>
      </c>
      <c r="C13" s="125">
        <v>0.0</v>
      </c>
      <c r="D13" s="125">
        <f>B13-C13</f>
        <v>0</v>
      </c>
      <c r="E13" s="126">
        <v>0.0</v>
      </c>
      <c r="F13" s="126">
        <v>0.0</v>
      </c>
      <c r="G13" s="126">
        <f>E13-F13</f>
        <v>0</v>
      </c>
      <c r="H13" s="127">
        <f>_xlfn.IFERROR(G13/E13,0)</f>
        <v>0</v>
      </c>
      <c r="I13" s="128">
        <v>0.0</v>
      </c>
    </row>
    <row r="14" spans="1:9" ht="18.0" customHeight="1" x14ac:dyDescent="0.15">
      <c r="A14" s="124" t="s">
        <v>192</v>
      </c>
      <c r="B14" s="125">
        <v>0.0</v>
      </c>
      <c r="C14" s="125">
        <v>0.0</v>
      </c>
      <c r="D14" s="125">
        <f>B14-C14</f>
        <v>0</v>
      </c>
      <c r="E14" s="126">
        <v>0.0</v>
      </c>
      <c r="F14" s="126">
        <v>0.0</v>
      </c>
      <c r="G14" s="126">
        <f>E14-F14</f>
        <v>0</v>
      </c>
      <c r="H14" s="127">
        <f>_xlfn.IFERROR(G14/E14,0)</f>
        <v>0</v>
      </c>
      <c r="I14" s="128">
        <v>0.0</v>
      </c>
    </row>
    <row r="15" spans="1:9" ht="18.0" customHeight="1" x14ac:dyDescent="0.15">
      <c r="A15" s="124" t="s">
        <v>193</v>
      </c>
      <c r="B15" s="125">
        <v>0.0</v>
      </c>
      <c r="C15" s="125">
        <v>0.0</v>
      </c>
      <c r="D15" s="125">
        <f>B15-C15</f>
        <v>0</v>
      </c>
      <c r="E15" s="126">
        <v>0.0</v>
      </c>
      <c r="F15" s="126">
        <v>0.0</v>
      </c>
      <c r="G15" s="126">
        <f>E15-F15</f>
        <v>0</v>
      </c>
      <c r="H15" s="127">
        <f>_xlfn.IFERROR(G15/E15,0)</f>
        <v>0</v>
      </c>
      <c r="I15" s="128">
        <v>0.0</v>
      </c>
    </row>
    <row r="16" spans="1:9" ht="19.5" customHeight="1" x14ac:dyDescent="0.15">
      <c r="A16" s="32" t="s">
        <v>194</v>
      </c>
      <c r="B16" s="81">
        <f>SUM(B4:B15)</f>
        <v>771000</v>
      </c>
      <c r="C16" s="81">
        <f>SUM(C4:C15)</f>
        <v>668080</v>
      </c>
      <c r="D16" s="81">
        <f>SUM(D4:D15)</f>
        <v>102920</v>
      </c>
      <c r="E16" s="82">
        <f>SUM(E4:E15)</f>
        <v>49614.65</v>
      </c>
      <c r="F16" s="82">
        <f>SUM(F4:F15)</f>
        <v>34114.5</v>
      </c>
      <c r="G16" s="82">
        <f>SUM(G4:G15)</f>
        <v>15500.15</v>
      </c>
      <c r="H16" s="122">
        <f>_xlfn.IFERROR(G16/E16,0)</f>
        <v>0.3124107496475335</v>
      </c>
      <c r="I16" s="81">
        <f>SUM(I4:I15)</f>
        <v>83</v>
      </c>
    </row>
  </sheetData>
  <mergeCells count="1">
    <mergeCell ref="A2:I2"/>
  </mergeCells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docProps/app.xml><?xml version="1.0" encoding="utf-8"?>
<Properties xmlns="http://schemas.openxmlformats.org/officeDocument/2006/extended-properties">
  <Template>Normal.eit</Template>
  <TotalTime>5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HONOR Docs</cp:lastModifiedBy>
  <cp:revision>0</cp:revision>
  <dcterms:created xsi:type="dcterms:W3CDTF">2026-05-07T11:08:58Z</dcterms:created>
  <dcterms:modified xsi:type="dcterms:W3CDTF">2026-05-07T05:20:34Z</dcterms:modified>
</cp:coreProperties>
</file>